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2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27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5"/>
  </bookViews>
  <sheets>
    <sheet name="All Saints" sheetId="1" state="visible" r:id="rId3"/>
    <sheet name="Chatham Central &amp; Brompton" sheetId="2" state="visible" r:id="rId4"/>
    <sheet name="Cuxton, Halling &amp; Riverside" sheetId="3" state="visible" r:id="rId5"/>
    <sheet name="Fort Horsted" sheetId="4" state="visible" r:id="rId6"/>
    <sheet name="Fort Pitt" sheetId="5" state="visible" r:id="rId7"/>
    <sheet name="Gillingham North" sheetId="6" state="visible" r:id="rId8"/>
    <sheet name="Gillingham South" sheetId="7" state="visible" r:id="rId9"/>
    <sheet name="Hempstead &amp; Wigmore" sheetId="8" state="visible" r:id="rId10"/>
    <sheet name="Hoo St W &amp; High Halstow" sheetId="9" state="visible" r:id="rId11"/>
    <sheet name="Lordswood &amp; Walderslade" sheetId="10" state="visible" r:id="rId12"/>
    <sheet name="Luton" sheetId="11" state="visible" r:id="rId13"/>
    <sheet name="Princes Park" sheetId="12" state="visible" r:id="rId14"/>
    <sheet name="Rainham North" sheetId="13" state="visible" r:id="rId15"/>
    <sheet name="Rainham South East" sheetId="14" state="visible" r:id="rId16"/>
    <sheet name="Rainham South West" sheetId="15" state="visible" r:id="rId17"/>
    <sheet name="Rochester East &amp; Warren Wood" sheetId="16" state="visible" r:id="rId18"/>
    <sheet name="Rochester West &amp; Borstal" sheetId="17" state="visible" r:id="rId19"/>
    <sheet name="St Mary's Island" sheetId="18" state="visible" r:id="rId20"/>
    <sheet name="Strood N &amp; Frindsbury" sheetId="19" state="visible" r:id="rId21"/>
    <sheet name="Strood Rural" sheetId="20" state="visible" r:id="rId22"/>
    <sheet name="Strood West" sheetId="21" state="visible" r:id="rId23"/>
    <sheet name="Twydall" sheetId="22" state="visible" r:id="rId24"/>
    <sheet name="Watling" sheetId="23" state="visible" r:id="rId25"/>
    <sheet name="Wayfield &amp; Weeds Wood" sheetId="24" state="visible" r:id="rId26"/>
    <sheet name="National" sheetId="25" state="visible" r:id="rId27"/>
    <sheet name="Summary" sheetId="26" state="visible" r:id="rId28"/>
    <sheet name="Sheet27" sheetId="27" state="visible" r:id="rId29"/>
  </sheets>
  <definedNames>
    <definedName function="false" hidden="true" localSheetId="25" name="_xlnm._FilterDatabase" vbProcedure="false">Summary!$A$1:$P$187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<sst xmlns="http://schemas.openxmlformats.org/spreadsheetml/2006/main" count="1573" uniqueCount="438">
  <si>
    <t xml:space="preserve">Electorate (registered electors)</t>
  </si>
  <si>
    <t xml:space="preserve">Councillors elected in ward</t>
  </si>
  <si>
    <t xml:space="preserve">Turnout</t>
  </si>
  <si>
    <t xml:space="preserve">Blank / invalid ballots (rejected)</t>
  </si>
  <si>
    <t xml:space="preserve">2023 result</t>
  </si>
  <si>
    <t xml:space="preserve">Prediction based on national swing since May 2023</t>
  </si>
  <si>
    <t xml:space="preserve">Candidate</t>
  </si>
  <si>
    <t xml:space="preserve">Party</t>
  </si>
  <si>
    <t xml:space="preserve">Votes</t>
  </si>
  <si>
    <t xml:space="preserve">% of votes</t>
  </si>
  <si>
    <t xml:space="preserve">% of electors</t>
  </si>
  <si>
    <t xml:space="preserve">votes</t>
  </si>
  <si>
    <t xml:space="preserve">Kier Dorran Kemp</t>
  </si>
  <si>
    <t xml:space="preserve">Labour Party</t>
  </si>
  <si>
    <t xml:space="preserve">Habeeb Adeyemi Ogunfemi (commonly known as Harold Ogunfemi)</t>
  </si>
  <si>
    <t xml:space="preserve">Local Conservatives</t>
  </si>
  <si>
    <t xml:space="preserve">Bernard Edward Hyde</t>
  </si>
  <si>
    <t xml:space="preserve">Green Party</t>
  </si>
  <si>
    <t xml:space="preserve">Elizabeth Ann Simpson</t>
  </si>
  <si>
    <t xml:space="preserve">Liberal Democrats</t>
  </si>
  <si>
    <t xml:space="preserve">Harjinder Singh Khatkar (commonly known as Bill Khatkar)</t>
  </si>
  <si>
    <t xml:space="preserve">Reform UK</t>
  </si>
  <si>
    <t xml:space="preserve">Christopher Stuart Spalding (commonly known as Chris Spalding)</t>
  </si>
  <si>
    <t xml:space="preserve">Independent</t>
  </si>
  <si>
    <t xml:space="preserve">Julie Wallace</t>
  </si>
  <si>
    <t xml:space="preserve">% of electorate</t>
  </si>
  <si>
    <t xml:space="preserve">Vince Maple (Vincent Stewart Maple; commonly known as Vince Maple)</t>
  </si>
  <si>
    <t xml:space="preserve">Labour and Co-operative Party</t>
  </si>
  <si>
    <t xml:space="preserve">Nina Gurung</t>
  </si>
  <si>
    <t xml:space="preserve">Shakirat Oyindamola Animashaun (commonly known as Damola Animashaun)</t>
  </si>
  <si>
    <t xml:space="preserve">Vrinderpal Singh Khera (commonly known as Paul Khera)</t>
  </si>
  <si>
    <t xml:space="preserve">Claude Jenner Granville King</t>
  </si>
  <si>
    <t xml:space="preserve">Habib Odunlamin Tejan</t>
  </si>
  <si>
    <t xml:space="preserve">Robert Gerald Edward O'Hanlon (commonly known as Rob O'Hanlon)</t>
  </si>
  <si>
    <t xml:space="preserve">Geoffrey William Juby (commonly known as Geoff Juby)</t>
  </si>
  <si>
    <t xml:space="preserve">prediction based in national swing since May 2023</t>
  </si>
  <si>
    <t xml:space="preserve">Stephen Joseph Donald McCormack</t>
  </si>
  <si>
    <t xml:space="preserve">Victoria Valerie Morris</t>
  </si>
  <si>
    <t xml:space="preserve">Matt Fearn (Matthew James Fearn; commonly known as Matt Fearn)</t>
  </si>
  <si>
    <t xml:space="preserve">Phil Filmer (Phillip Filmer; commonly known as Phil Filmer)</t>
  </si>
  <si>
    <t xml:space="preserve">Matt Nightingale (Matthew Richard Nightingale; commonly known as Matt Nightingale)</t>
  </si>
  <si>
    <t xml:space="preserve">Cat Jamieson (Catriona Margaret Jamieson; commonly known as Cat Jamieson)</t>
  </si>
  <si>
    <t xml:space="preserve">Ron Gillett (Ronald Arcon Gillett; commonly known as Ron Gillett)</t>
  </si>
  <si>
    <t xml:space="preserve">Joseph Simon Murray</t>
  </si>
  <si>
    <t xml:space="preserve">Trevor Anthony Clarke</t>
  </si>
  <si>
    <t xml:space="preserve">Matthews John Knott</t>
  </si>
  <si>
    <t xml:space="preserve">Vivienne Parker (commonly known as Viv Parker)</t>
  </si>
  <si>
    <t xml:space="preserve">Smitha Campbell</t>
  </si>
  <si>
    <t xml:space="preserve">Harinder Singh Mahil</t>
  </si>
  <si>
    <t xml:space="preserve">Gareth Richard Myton</t>
  </si>
  <si>
    <t xml:space="preserve">Rupert David Fearon Turpin</t>
  </si>
  <si>
    <t xml:space="preserve">Richard Niall Thorne</t>
  </si>
  <si>
    <t xml:space="preserve">Gloria Blessing Chukwuka Opara</t>
  </si>
  <si>
    <t xml:space="preserve">Karen Scott</t>
  </si>
  <si>
    <t xml:space="preserve">Nirmal Sandhu</t>
  </si>
  <si>
    <t xml:space="preserve">Adam Robert William Price</t>
  </si>
  <si>
    <t xml:space="preserve">Douglas Kudakwashe Hamandishe</t>
  </si>
  <si>
    <t xml:space="preserve">Lia Helen Mandaracas</t>
  </si>
  <si>
    <t xml:space="preserve">Clayton Barrett</t>
  </si>
  <si>
    <t xml:space="preserve">Conservative Party candidate</t>
  </si>
  <si>
    <t xml:space="preserve">Zarina Bibi Chishti</t>
  </si>
  <si>
    <t xml:space="preserve">Harbans Singh Sidhu</t>
  </si>
  <si>
    <t xml:space="preserve">Jeremy Spyby-Steanson</t>
  </si>
  <si>
    <t xml:space="preserve">Ben Darryl Rist</t>
  </si>
  <si>
    <t xml:space="preserve">Rory Craig McDonald (commonly known as Dan McDonald)</t>
  </si>
  <si>
    <t xml:space="preserve">Naushabah Parveen Khan</t>
  </si>
  <si>
    <t xml:space="preserve">Louwella Margaret Prenter</t>
  </si>
  <si>
    <t xml:space="preserve">Amy Smith</t>
  </si>
  <si>
    <t xml:space="preserve">Adenike Sijuwade Adeoye (commonly known as Siju Adeoye)</t>
  </si>
  <si>
    <t xml:space="preserve">George Georghiou</t>
  </si>
  <si>
    <t xml:space="preserve">Daniel Luis Belmonte</t>
  </si>
  <si>
    <t xml:space="preserve">Christopher John Sams</t>
  </si>
  <si>
    <t xml:space="preserve">Lewis John William Bailey</t>
  </si>
  <si>
    <t xml:space="preserve">Haroon Ali Kahn</t>
  </si>
  <si>
    <t xml:space="preserve">Jim Gilbourne (James Adrian Gilbourne; commonly known as Jim Gilbourne)</t>
  </si>
  <si>
    <t xml:space="preserve">Andrew William John Lawrence</t>
  </si>
  <si>
    <t xml:space="preserve">Kathryn Amanda Korff (commonly known as Kat Korff)</t>
  </si>
  <si>
    <t xml:space="preserve">Daniele Erico Sergio Cavaliere (commonly known as Daniel Cavaliere)</t>
  </si>
  <si>
    <t xml:space="preserve">Peter Anthony Wheeler</t>
  </si>
  <si>
    <t xml:space="preserve">Social Democratic Party</t>
  </si>
  <si>
    <t xml:space="preserve">John Wesley Gibson</t>
  </si>
  <si>
    <t xml:space="preserve">Christian Peoples Alliance</t>
  </si>
  <si>
    <t xml:space="preserve">Gary Barwell</t>
  </si>
  <si>
    <t xml:space="preserve">Guiliana Paola Christmas</t>
  </si>
  <si>
    <t xml:space="preserve">Stephen Allan Vickery</t>
  </si>
  <si>
    <t xml:space="preserve">Robert John Tildesley</t>
  </si>
  <si>
    <t xml:space="preserve">Christopher John Sparks (commonly known as Chris Sparks)</t>
  </si>
  <si>
    <t xml:space="preserve">Fatima Mitchell</t>
  </si>
  <si>
    <t xml:space="preserve">Julian Charles Sutton</t>
  </si>
  <si>
    <t xml:space="preserve">Aaron Robert Sergejenkovs-Telford (commonly known as Aaron Sergejenkovs-Telford)</t>
  </si>
  <si>
    <t xml:space="preserve">Steven John Hudson (commonly known as Steve Hudson)</t>
  </si>
  <si>
    <t xml:space="preserve">George Josiah Thomas Crozer</t>
  </si>
  <si>
    <t xml:space="preserve">Ronald Philip Sands (commonly known as Ron Sands)</t>
  </si>
  <si>
    <t xml:space="preserve">Michael Ian Pearce</t>
  </si>
  <si>
    <t xml:space="preserve">Christine Janice Godwin</t>
  </si>
  <si>
    <t xml:space="preserve">David Alun Bowen</t>
  </si>
  <si>
    <t xml:space="preserve">Brad Cook (Bradley Charles George Cook; commonly known as Brad Cook)</t>
  </si>
  <si>
    <t xml:space="preserve">David Frederick Brake</t>
  </si>
  <si>
    <t xml:space="preserve">David Robert Wildey</t>
  </si>
  <si>
    <t xml:space="preserve">Adrian Victor Henry Gulvin</t>
  </si>
  <si>
    <t xml:space="preserve">Sonia Lesley Hyner</t>
  </si>
  <si>
    <t xml:space="preserve">Matthew William Vincent</t>
  </si>
  <si>
    <t xml:space="preserve">Simon Michael Curry</t>
  </si>
  <si>
    <t xml:space="preserve">Jo Howcroft-Scott (Joanne Christine Howcroft-Scott; commonly known as Jo Howcroft-Scott)</t>
  </si>
  <si>
    <t xml:space="preserve">Lulu Lammas (Marianna Hendrika Lammas; commonly known as Lulu Lammas)</t>
  </si>
  <si>
    <t xml:space="preserve">Mos Igani (Mosueneme Igani; commonly known as Mos Igani)</t>
  </si>
  <si>
    <t xml:space="preserve">Debbie Sutton (Deborah Susan Sutton; commonly known as Debbie Sutton)</t>
  </si>
  <si>
    <t xml:space="preserve">Paul Anthony O'Neill</t>
  </si>
  <si>
    <t xml:space="preserve">John Gower Strevens</t>
  </si>
  <si>
    <t xml:space="preserve">Temi Olodo (Temitope Omontanwa Olodo; commonly known as Temi Olodo)</t>
  </si>
  <si>
    <t xml:space="preserve">Robbie Lammas (Robert George Benedict Lammas; commonly known as Robbie Lammas)</t>
  </si>
  <si>
    <t xml:space="preserve">Alex Hyne (Alexander Thomas Hyne; commonly known as Alex)</t>
  </si>
  <si>
    <t xml:space="preserve">Simon Phillip Marchant</t>
  </si>
  <si>
    <t xml:space="preserve">Ian Christopher Sailes</t>
  </si>
  <si>
    <t xml:space="preserve">Mark Richard Harrison</t>
  </si>
  <si>
    <t xml:space="preserve">Nikita Morris (Nonchalonte Nikita Morris; commonly known as Nikita Morris)</t>
  </si>
  <si>
    <t xml:space="preserve">Mutz Khan (Ahmed Mutahir Khan; commonly known as Mutz Khan)</t>
  </si>
  <si>
    <t xml:space="preserve">George Harry Perfect</t>
  </si>
  <si>
    <t xml:space="preserve">Wayne Ronald Spring</t>
  </si>
  <si>
    <t xml:space="preserve">Kwashie Amartei Anang</t>
  </si>
  <si>
    <t xml:space="preserve">Trish Marchant (Patricia Anne Marchant; commonly known as Trish Marchant)</t>
  </si>
  <si>
    <t xml:space="preserve">Stuart James Bourne</t>
  </si>
  <si>
    <t xml:space="preserve">Rosell Alan William Collins</t>
  </si>
  <si>
    <t xml:space="preserve">Nicholas Chan (Yu Hin Nick Chan; commonly known as Nicholas Chan)</t>
  </si>
  <si>
    <t xml:space="preserve">Katrina Karen Campbell</t>
  </si>
  <si>
    <t xml:space="preserve">Iain Michael Childs</t>
  </si>
  <si>
    <t xml:space="preserve">Chiron Peter Mottram</t>
  </si>
  <si>
    <t xml:space="preserve">Roger Barrett</t>
  </si>
  <si>
    <t xml:space="preserve">Howard Francis Doe</t>
  </si>
  <si>
    <t xml:space="preserve">Gary John Hackwell</t>
  </si>
  <si>
    <t xml:space="preserve">Mary Winifred Smith</t>
  </si>
  <si>
    <t xml:space="preserve">Christopher Charles Moore</t>
  </si>
  <si>
    <t xml:space="preserve">Roger James Peacock</t>
  </si>
  <si>
    <t xml:space="preserve">Christopher David Brown</t>
  </si>
  <si>
    <t xml:space="preserve">Alpa Arya Shah</t>
  </si>
  <si>
    <t xml:space="preserve">Barry Joseph Kemp</t>
  </si>
  <si>
    <t xml:space="preserve">Mark Paul Joy</t>
  </si>
  <si>
    <t xml:space="preserve">Liz O'Hanlon (Elizabeth Lindsey O'Hanlon; commonly known as Liz O'Hanlon)</t>
  </si>
  <si>
    <t xml:space="preserve">Alan John Jefferies</t>
  </si>
  <si>
    <t xml:space="preserve">Matt Durcan (Matthew Bernard Durcan; commonly known as Matt Durcan)</t>
  </si>
  <si>
    <t xml:space="preserve">Callum John Evans</t>
  </si>
  <si>
    <t xml:space="preserve">Teresa Margaret Murray</t>
  </si>
  <si>
    <t xml:space="preserve">Lauren Rae Edwards</t>
  </si>
  <si>
    <t xml:space="preserve">Tristan John Osborne</t>
  </si>
  <si>
    <t xml:space="preserve">George Harvey Samuel Clarke</t>
  </si>
  <si>
    <t xml:space="preserve">Sylvia Mary Griffin</t>
  </si>
  <si>
    <t xml:space="preserve">Tolga Sirlan</t>
  </si>
  <si>
    <t xml:space="preserve">Marilyn Stone</t>
  </si>
  <si>
    <t xml:space="preserve">Sarah Louise Manuel</t>
  </si>
  <si>
    <t xml:space="preserve">Alex Paterson (Alexander John Paterson; commonly known as Alex Paterson)</t>
  </si>
  <si>
    <t xml:space="preserve">Linda Jill Bowen</t>
  </si>
  <si>
    <t xml:space="preserve">Paula Wilhelmina Hamilton</t>
  </si>
  <si>
    <t xml:space="preserve">Stuart Albert Tranter</t>
  </si>
  <si>
    <t xml:space="preserve">Faith Rivers (Faith Ohaeri; also known as Rivers; commonly known as Faith Rivers)</t>
  </si>
  <si>
    <t xml:space="preserve">Tim Joiner (Timothy Martin Joiner; commonly known as Tim Joiner)</t>
  </si>
  <si>
    <t xml:space="preserve">Stuart Samuel Worsley</t>
  </si>
  <si>
    <t xml:space="preserve">Anita Jane Holloway</t>
  </si>
  <si>
    <t xml:space="preserve">David Christopher Graham Hodges</t>
  </si>
  <si>
    <t xml:space="preserve">Habib Odunlamin Sulaiman Tejan</t>
  </si>
  <si>
    <t xml:space="preserve">Caroline Mary Bowes</t>
  </si>
  <si>
    <t xml:space="preserve">John Edward Castle</t>
  </si>
  <si>
    <t xml:space="preserve">Zoe Angela Van Dyke</t>
  </si>
  <si>
    <t xml:space="preserve">Stephen Alan Hubbard</t>
  </si>
  <si>
    <t xml:space="preserve">David Peter Field</t>
  </si>
  <si>
    <t xml:space="preserve">Gareth Wilf Batts</t>
  </si>
  <si>
    <t xml:space="preserve">Craig Thomas Liddell</t>
  </si>
  <si>
    <t xml:space="preserve">Akin Edun (Akinola Obafemi Edun; commonly known as Akin Edun)</t>
  </si>
  <si>
    <t xml:space="preserve">Stephen Andrew James Stephen</t>
  </si>
  <si>
    <t xml:space="preserve">Alexander Charles Clark</t>
  </si>
  <si>
    <t xml:space="preserve">Peter Richard Ede Burch</t>
  </si>
  <si>
    <t xml:space="preserve">Heritage Party</t>
  </si>
  <si>
    <t xml:space="preserve">Robert Elton Wyatt</t>
  </si>
  <si>
    <t xml:space="preserve">Elaine Orford Thomas</t>
  </si>
  <si>
    <t xml:space="preserve">Derek Munton</t>
  </si>
  <si>
    <t xml:space="preserve">John Williams</t>
  </si>
  <si>
    <t xml:space="preserve">Gary David James Etheridge</t>
  </si>
  <si>
    <t xml:space="preserve">Elizabeth Ann Turpin</t>
  </si>
  <si>
    <t xml:space="preserve">Neil James Atkinson</t>
  </si>
  <si>
    <t xml:space="preserve">Joanna Elizabeth Clark</t>
  </si>
  <si>
    <t xml:space="preserve">Andrew Lawrence Millsom</t>
  </si>
  <si>
    <t xml:space="preserve">Alan Edward Wells</t>
  </si>
  <si>
    <t xml:space="preserve">Sharon Leigh Jackson</t>
  </si>
  <si>
    <t xml:space="preserve">Mark William Jones</t>
  </si>
  <si>
    <t xml:space="preserve">Satinder Singh Shokar</t>
  </si>
  <si>
    <t xml:space="preserve">Isaac Igwe (Ikechukwu Igwe; commonly known as Isaac Igwe)</t>
  </si>
  <si>
    <t xml:space="preserve">Josie Iles (Josephine Lesley Iles; commonly known as Josie Iles)</t>
  </si>
  <si>
    <t xml:space="preserve">Chris Buckwell (Christopher Brian Buckwell; commonly known as Chris Buckwell)</t>
  </si>
  <si>
    <t xml:space="preserve">Susan Griffiths</t>
  </si>
  <si>
    <t xml:space="preserve">Michael Dennis Wild</t>
  </si>
  <si>
    <t xml:space="preserve">Rob Heathfield (Robert John Heathfield; commonly known as Rob Heathfield)</t>
  </si>
  <si>
    <t xml:space="preserve">Hazel Louise Browne</t>
  </si>
  <si>
    <t xml:space="preserve">Mark Prenter</t>
  </si>
  <si>
    <t xml:space="preserve">Mitchell Brewer</t>
  </si>
  <si>
    <t xml:space="preserve">Louise Elizabeth Smith</t>
  </si>
  <si>
    <t xml:space="preserve">Kate Belmonte (Catherine Victoria Belmonte; commonly known as Kate Belmonte)</t>
  </si>
  <si>
    <t xml:space="preserve">Maureen Ruparel</t>
  </si>
  <si>
    <t xml:space="preserve">Chrissy Stamp (Christina Melanie Stamp; commonly known as Chrissy Stamp)</t>
  </si>
  <si>
    <t xml:space="preserve">Tracy Coombs</t>
  </si>
  <si>
    <t xml:space="preserve">Marian Angelov Nestorov</t>
  </si>
  <si>
    <t xml:space="preserve">Steven James Marsden</t>
  </si>
  <si>
    <t xml:space="preserve">Tina Louise Venus-Coppard</t>
  </si>
  <si>
    <t xml:space="preserve">Adam Strudwick-Long</t>
  </si>
  <si>
    <t xml:space="preserve">Tina Munro</t>
  </si>
  <si>
    <t xml:space="preserve">David William Yale</t>
  </si>
  <si>
    <t xml:space="preserve">Esther Mary Cook</t>
  </si>
  <si>
    <t xml:space="preserve">Eddie Peake (Edmund Ralph Barralet Peake; commonly known as Eddie Peake)</t>
  </si>
  <si>
    <t xml:space="preserve">Caroline Burns</t>
  </si>
  <si>
    <t xml:space="preserve">Nawal Rai</t>
  </si>
  <si>
    <t xml:space="preserve">Judith Elizabeth Northwood-Boorman</t>
  </si>
  <si>
    <t xml:space="preserve">Herbert John Alfred Crack</t>
  </si>
  <si>
    <t xml:space="preserve">Steve Tanner (Steven Tanner; commonly known as Steve Tanner)</t>
  </si>
  <si>
    <t xml:space="preserve">National polls at time of local election (May 2023)</t>
  </si>
  <si>
    <t xml:space="preserve">National polls March 2026 yougov</t>
  </si>
  <si>
    <t xml:space="preserve">Ratio</t>
  </si>
  <si>
    <t xml:space="preserve">% of vote share</t>
  </si>
  <si>
    <t xml:space="preserve">% of vote shate</t>
  </si>
  <si>
    <t xml:space="preserve">Labour</t>
  </si>
  <si>
    <t xml:space="preserve">Con</t>
  </si>
  <si>
    <t xml:space="preserve">RefUK</t>
  </si>
  <si>
    <t xml:space="preserve">Green</t>
  </si>
  <si>
    <t xml:space="preserve">LibDem</t>
  </si>
  <si>
    <t xml:space="preserve">Others</t>
  </si>
  <si>
    <t xml:space="preserve">*used yougov because they have a history of modelling better youth mobilisation (e.g. predicted corbyn hung parliament)</t>
  </si>
  <si>
    <t xml:space="preserve">Vote transfer since general election</t>
  </si>
  <si>
    <t xml:space="preserve">No vote</t>
  </si>
  <si>
    <t xml:space="preserve">Unsure</t>
  </si>
  <si>
    <t xml:space="preserve">Ward</t>
  </si>
  <si>
    <t xml:space="preserve">Councillors</t>
  </si>
  <si>
    <t xml:space="preserve">Vote %</t>
  </si>
  <si>
    <t xml:space="preserve">Registered Electors</t>
  </si>
  <si>
    <t xml:space="preserve">Projected Votes</t>
  </si>
  <si>
    <t xml:space="preserve">Projected Vote %</t>
  </si>
  <si>
    <t xml:space="preserve">Projected Votes – # Votes Cast – 2023</t>
  </si>
  <si>
    <t xml:space="preserve">Average Projection Per Party</t>
  </si>
  <si>
    <t xml:space="preserve">% Projected Vote Share Per Party (Apportioned by Candidate)</t>
  </si>
  <si>
    <t xml:space="preserve">Projected Votes Per Party</t>
  </si>
  <si>
    <t xml:space="preserve">Competitive?</t>
  </si>
  <si>
    <t xml:space="preserve">Rank by Party</t>
  </si>
  <si>
    <t xml:space="preserve">% Projected Vote Share Per Party (Unapportioned)</t>
  </si>
  <si>
    <t xml:space="preserve">All Saints</t>
  </si>
  <si>
    <t xml:space="preserve">Chris Spalding</t>
  </si>
  <si>
    <t xml:space="preserve">Conservative</t>
  </si>
  <si>
    <t xml:space="preserve">Harold Ogunfemi</t>
  </si>
  <si>
    <t xml:space="preserve">Kier Kemp</t>
  </si>
  <si>
    <t xml:space="preserve">Reform</t>
  </si>
  <si>
    <t xml:space="preserve">Bill Khatkar</t>
  </si>
  <si>
    <t xml:space="preserve">Bernard Hyde</t>
  </si>
  <si>
    <t xml:space="preserve">Elizabeth Simpson</t>
  </si>
  <si>
    <t xml:space="preserve">Chatham Central &amp; Brompton</t>
  </si>
  <si>
    <t xml:space="preserve">Labour Co-op</t>
  </si>
  <si>
    <t xml:space="preserve">Vince Maple*</t>
  </si>
  <si>
    <t xml:space="preserve">Damola Animashaun</t>
  </si>
  <si>
    <t xml:space="preserve">Paul Khera</t>
  </si>
  <si>
    <t xml:space="preserve">Claude King</t>
  </si>
  <si>
    <t xml:space="preserve">Habib Tejan Jr</t>
  </si>
  <si>
    <t xml:space="preserve">Rob O'Hanlon</t>
  </si>
  <si>
    <t xml:space="preserve">Geoff Juby</t>
  </si>
  <si>
    <t xml:space="preserve">Cuxton, Halling &amp; Riverside</t>
  </si>
  <si>
    <t xml:space="preserve">Matt Fearn*</t>
  </si>
  <si>
    <t xml:space="preserve">Phil Filmer*</t>
  </si>
  <si>
    <t xml:space="preserve">Matt Nightingale</t>
  </si>
  <si>
    <t xml:space="preserve">Cat Jamieson</t>
  </si>
  <si>
    <t xml:space="preserve">Stephen McCormack</t>
  </si>
  <si>
    <t xml:space="preserve">Victoria Morris</t>
  </si>
  <si>
    <t xml:space="preserve">Ron Gillett</t>
  </si>
  <si>
    <t xml:space="preserve">Fort Horsted</t>
  </si>
  <si>
    <t xml:space="preserve">Trevor Clarke*</t>
  </si>
  <si>
    <t xml:space="preserve">Viv Parker</t>
  </si>
  <si>
    <t xml:space="preserve">Joseph Murray</t>
  </si>
  <si>
    <t xml:space="preserve">Matthew Knott</t>
  </si>
  <si>
    <t xml:space="preserve">Fort Pitt</t>
  </si>
  <si>
    <t xml:space="preserve">Harinder Mahil*</t>
  </si>
  <si>
    <t xml:space="preserve">Gareth Myton</t>
  </si>
  <si>
    <t xml:space="preserve">Rupert Turpin*</t>
  </si>
  <si>
    <t xml:space="preserve">Richard Thorne*</t>
  </si>
  <si>
    <t xml:space="preserve">Gloria Opara*</t>
  </si>
  <si>
    <t xml:space="preserve">Gillingham North</t>
  </si>
  <si>
    <t xml:space="preserve">Adam Price*</t>
  </si>
  <si>
    <t xml:space="preserve">Douglas Hamandishe</t>
  </si>
  <si>
    <t xml:space="preserve">Lia Mandaracas</t>
  </si>
  <si>
    <t xml:space="preserve">Zarina Chishti</t>
  </si>
  <si>
    <t xml:space="preserve">Harbans Sidhu</t>
  </si>
  <si>
    <t xml:space="preserve">Ben Rist</t>
  </si>
  <si>
    <t xml:space="preserve">Gillingham South</t>
  </si>
  <si>
    <t xml:space="preserve">Dan McDonald*</t>
  </si>
  <si>
    <t xml:space="preserve">Naushabah Khan</t>
  </si>
  <si>
    <t xml:space="preserve">Louwella Prenter</t>
  </si>
  <si>
    <t xml:space="preserve">Siju Adeoye*</t>
  </si>
  <si>
    <t xml:space="preserve">Daniel Belmonte</t>
  </si>
  <si>
    <t xml:space="preserve">Christopher Sams</t>
  </si>
  <si>
    <t xml:space="preserve">Hempstead &amp; Wigmore</t>
  </si>
  <si>
    <t xml:space="preserve">Jim Gilbourne</t>
  </si>
  <si>
    <t xml:space="preserve">Andrew Lawrence</t>
  </si>
  <si>
    <t xml:space="preserve">Lewis Bailey</t>
  </si>
  <si>
    <t xml:space="preserve">Haroon Kahn</t>
  </si>
  <si>
    <t xml:space="preserve">Kat Korff</t>
  </si>
  <si>
    <t xml:space="preserve">Daniel Cavaliere</t>
  </si>
  <si>
    <t xml:space="preserve">SDP</t>
  </si>
  <si>
    <t xml:space="preserve">Peter Wheeler</t>
  </si>
  <si>
    <t xml:space="preserve">CPA</t>
  </si>
  <si>
    <t xml:space="preserve">John Gibson</t>
  </si>
  <si>
    <t xml:space="preserve">Hoo St Werburgh &amp; High Halstow</t>
  </si>
  <si>
    <t xml:space="preserve">George Crozer*</t>
  </si>
  <si>
    <t xml:space="preserve">Ron Sands*</t>
  </si>
  <si>
    <t xml:space="preserve">Michael Pearce</t>
  </si>
  <si>
    <t xml:space="preserve">Robert Tildesley</t>
  </si>
  <si>
    <t xml:space="preserve">Chris Sparks</t>
  </si>
  <si>
    <t xml:space="preserve">Giuliana Christmas</t>
  </si>
  <si>
    <t xml:space="preserve">Steve Vickery</t>
  </si>
  <si>
    <t xml:space="preserve">Julian Sutton</t>
  </si>
  <si>
    <t xml:space="preserve">Steve Hudson</t>
  </si>
  <si>
    <t xml:space="preserve">Aaron Sergejenkovs-Telford</t>
  </si>
  <si>
    <t xml:space="preserve">Lordswood &amp; Walderslade</t>
  </si>
  <si>
    <t xml:space="preserve">David Brake*</t>
  </si>
  <si>
    <t xml:space="preserve">David Wildey*</t>
  </si>
  <si>
    <t xml:space="preserve">Adrian Gulvin*</t>
  </si>
  <si>
    <t xml:space="preserve">Christine Godwin</t>
  </si>
  <si>
    <t xml:space="preserve">David Bowen</t>
  </si>
  <si>
    <t xml:space="preserve">Brad Cook</t>
  </si>
  <si>
    <t xml:space="preserve">Sonia Hyner</t>
  </si>
  <si>
    <t xml:space="preserve">Matthew Vincent</t>
  </si>
  <si>
    <t xml:space="preserve">Luton</t>
  </si>
  <si>
    <t xml:space="preserve">Simon Curry*</t>
  </si>
  <si>
    <t xml:space="preserve">Jo Howcroft-Scott*</t>
  </si>
  <si>
    <t xml:space="preserve">Lulu Lammas</t>
  </si>
  <si>
    <t xml:space="preserve">Mos Igani</t>
  </si>
  <si>
    <t xml:space="preserve">Debbie Sutton</t>
  </si>
  <si>
    <t xml:space="preserve">Paul O'Neill</t>
  </si>
  <si>
    <t xml:space="preserve">Princes Park</t>
  </si>
  <si>
    <t xml:space="preserve">Robbie Lammas*</t>
  </si>
  <si>
    <t xml:space="preserve">Alex Hyne</t>
  </si>
  <si>
    <t xml:space="preserve">John Strevens</t>
  </si>
  <si>
    <t xml:space="preserve">Temi Olodo</t>
  </si>
  <si>
    <t xml:space="preserve">Simon Marchant</t>
  </si>
  <si>
    <t xml:space="preserve">Ian Sailes</t>
  </si>
  <si>
    <t xml:space="preserve">Rainham North</t>
  </si>
  <si>
    <t xml:space="preserve">George Perfect</t>
  </si>
  <si>
    <t xml:space="preserve">Wayne Spring</t>
  </si>
  <si>
    <t xml:space="preserve">Kwashie Anang</t>
  </si>
  <si>
    <t xml:space="preserve">Mark Harrison</t>
  </si>
  <si>
    <t xml:space="preserve">Nikita Morris</t>
  </si>
  <si>
    <t xml:space="preserve">Mutz Khan</t>
  </si>
  <si>
    <t xml:space="preserve">Stuart Bourne</t>
  </si>
  <si>
    <t xml:space="preserve">Trish Marchant</t>
  </si>
  <si>
    <t xml:space="preserve">Alan Collins Rosell</t>
  </si>
  <si>
    <t xml:space="preserve">Nicholas Chan</t>
  </si>
  <si>
    <t xml:space="preserve">Rainham South East</t>
  </si>
  <si>
    <t xml:space="preserve">Roger Barrett*</t>
  </si>
  <si>
    <t xml:space="preserve">Howard Doe*</t>
  </si>
  <si>
    <t xml:space="preserve">Gary Hackwell*</t>
  </si>
  <si>
    <t xml:space="preserve">Katrina Campbell</t>
  </si>
  <si>
    <t xml:space="preserve">Iain Childs</t>
  </si>
  <si>
    <t xml:space="preserve">Chiron Mottram</t>
  </si>
  <si>
    <t xml:space="preserve">Mary Smith</t>
  </si>
  <si>
    <t xml:space="preserve">Christopher Moore</t>
  </si>
  <si>
    <t xml:space="preserve">Roger Peacock</t>
  </si>
  <si>
    <t xml:space="preserve">Rainham South West</t>
  </si>
  <si>
    <t xml:space="preserve">Barry Kemp*</t>
  </si>
  <si>
    <t xml:space="preserve">Mark Joy</t>
  </si>
  <si>
    <t xml:space="preserve">Christopher Brown</t>
  </si>
  <si>
    <t xml:space="preserve">Alpa Shah</t>
  </si>
  <si>
    <t xml:space="preserve">Liz O'Hanlon</t>
  </si>
  <si>
    <t xml:space="preserve">Alan Jefferies</t>
  </si>
  <si>
    <t xml:space="preserve">Matt Duncan</t>
  </si>
  <si>
    <t xml:space="preserve">Callum Evans</t>
  </si>
  <si>
    <t xml:space="preserve">Rochester East &amp; Warren Wood</t>
  </si>
  <si>
    <t xml:space="preserve">Teresa Murray*</t>
  </si>
  <si>
    <t xml:space="preserve">Lauren Edwards*</t>
  </si>
  <si>
    <t xml:space="preserve">Tris Osborne*</t>
  </si>
  <si>
    <t xml:space="preserve">George Clarke</t>
  </si>
  <si>
    <t xml:space="preserve">Sylvia Griffin*</t>
  </si>
  <si>
    <t xml:space="preserve">Sarah Manuel</t>
  </si>
  <si>
    <t xml:space="preserve">Rochester West &amp; Borstal</t>
  </si>
  <si>
    <t xml:space="preserve">Alex Paterson*</t>
  </si>
  <si>
    <t xml:space="preserve">Linda Bowen</t>
  </si>
  <si>
    <t xml:space="preserve">Paula Hamilton</t>
  </si>
  <si>
    <t xml:space="preserve">Stuart Tranter*</t>
  </si>
  <si>
    <t xml:space="preserve">Faith Rivers</t>
  </si>
  <si>
    <t xml:space="preserve">Tim Joiner</t>
  </si>
  <si>
    <t xml:space="preserve">Stuart Worsley</t>
  </si>
  <si>
    <t xml:space="preserve">Anita Holloway</t>
  </si>
  <si>
    <t xml:space="preserve">St Mary's Island</t>
  </si>
  <si>
    <t xml:space="preserve">Habib Tejan*</t>
  </si>
  <si>
    <t xml:space="preserve">John Castle</t>
  </si>
  <si>
    <t xml:space="preserve">David Hodges</t>
  </si>
  <si>
    <t xml:space="preserve">Caroline Bowes</t>
  </si>
  <si>
    <t xml:space="preserve">Strood North &amp; Frindsbury</t>
  </si>
  <si>
    <t xml:space="preserve">Zoe Dyke*</t>
  </si>
  <si>
    <t xml:space="preserve">Stephen Hubbard*</t>
  </si>
  <si>
    <t xml:space="preserve">David Field</t>
  </si>
  <si>
    <t xml:space="preserve">Gareth Batts</t>
  </si>
  <si>
    <t xml:space="preserve">Craig Liddell</t>
  </si>
  <si>
    <t xml:space="preserve">Akin Edun</t>
  </si>
  <si>
    <t xml:space="preserve">Andrew Stephen</t>
  </si>
  <si>
    <t xml:space="preserve">Alexander Clark</t>
  </si>
  <si>
    <t xml:space="preserve">Heritage</t>
  </si>
  <si>
    <t xml:space="preserve">Peter Burch</t>
  </si>
  <si>
    <t xml:space="preserve">Strood Rural</t>
  </si>
  <si>
    <t xml:space="preserve">John Williams*</t>
  </si>
  <si>
    <t xml:space="preserve">Gary Etheridge*</t>
  </si>
  <si>
    <t xml:space="preserve">Elizabeth Turpin*</t>
  </si>
  <si>
    <t xml:space="preserve">Robert Wyatt</t>
  </si>
  <si>
    <t xml:space="preserve">Elaine Thomas</t>
  </si>
  <si>
    <t xml:space="preserve">Neil Atkinson</t>
  </si>
  <si>
    <t xml:space="preserve">Joanna Clark</t>
  </si>
  <si>
    <t xml:space="preserve">Andrew Millsom</t>
  </si>
  <si>
    <t xml:space="preserve">Alan Wells</t>
  </si>
  <si>
    <t xml:space="preserve">Strood West</t>
  </si>
  <si>
    <t xml:space="preserve">Sharon Jackson</t>
  </si>
  <si>
    <t xml:space="preserve">Mark Jones</t>
  </si>
  <si>
    <t xml:space="preserve">Satinder Shokar</t>
  </si>
  <si>
    <t xml:space="preserve">Isaac Igwe</t>
  </si>
  <si>
    <t xml:space="preserve">Josie Iles*</t>
  </si>
  <si>
    <t xml:space="preserve">Chris Buckwell*</t>
  </si>
  <si>
    <t xml:space="preserve">Michael Wild</t>
  </si>
  <si>
    <t xml:space="preserve">Rob Heathfield</t>
  </si>
  <si>
    <t xml:space="preserve">Twydall</t>
  </si>
  <si>
    <t xml:space="preserve">Hazel Browne*</t>
  </si>
  <si>
    <t xml:space="preserve">Mark Prenter*</t>
  </si>
  <si>
    <t xml:space="preserve">Louise Smith</t>
  </si>
  <si>
    <t xml:space="preserve">Kate Belmonte</t>
  </si>
  <si>
    <t xml:space="preserve">Watling</t>
  </si>
  <si>
    <t xml:space="preserve">Chrissy Stamp*</t>
  </si>
  <si>
    <t xml:space="preserve">Marian Nestorov</t>
  </si>
  <si>
    <t xml:space="preserve">Steven Marsden</t>
  </si>
  <si>
    <t xml:space="preserve">Tina Venus-Coppard</t>
  </si>
  <si>
    <t xml:space="preserve">David Yale</t>
  </si>
  <si>
    <t xml:space="preserve">Wayfield &amp; Weeds Wood</t>
  </si>
  <si>
    <t xml:space="preserve">Esther Cook</t>
  </si>
  <si>
    <t xml:space="preserve">Eddie Peake</t>
  </si>
  <si>
    <t xml:space="preserve">Judith Northwood-Boorman</t>
  </si>
  <si>
    <t xml:space="preserve">Herbert Crack</t>
  </si>
  <si>
    <t xml:space="preserve">Steve Tanner</t>
  </si>
  <si>
    <t xml:space="preserve">wd25nm</t>
  </si>
  <si>
    <t xml:space="preserve">party</t>
  </si>
  <si>
    <t xml:space="preserve">votes_percent</t>
  </si>
  <si>
    <t xml:space="preserve">Lib Dems</t>
  </si>
  <si>
    <t xml:space="preserve">Other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</si>
</sst>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£* #,##0.00_-;&quot;-£&quot;* #,##0.00_-;_-\£* \-??_-;_-@_-"/>
    <numFmt numFmtId="168" formatCode="_-\£* #,##0_-;&quot;-£&quot;* #,##0_-;_-\£* \-_-;_-@_-"/>
    <numFmt numFmtId="169" formatCode="0%"/>
    <numFmt numFmtId="170" formatCode="0.00%"/>
    <numFmt numFmtId="171" formatCode="#,##0"/>
    <numFmt numFmtId="172" formatCode="0.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1"/>
      <name val="Calibri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libri"/>
      <family val="2"/>
      <charset val="1"/>
    </font>
    <font>
      <sz val="10"/>
      <color rgb="FF274EC0"/>
      <name val="Arial"/>
      <family val="2"/>
      <charset val="1"/>
    </font>
    <font>
      <sz val="10"/>
      <color rgb="FF5649A0"/>
      <name val="Arial"/>
      <family val="2"/>
      <charset val="1"/>
    </font>
    <font>
      <sz val="10"/>
      <color rgb="FF0000FF"/>
      <name val="Arial"/>
      <family val="2"/>
      <charset val="1"/>
    </font>
    <font>
      <sz val="16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6"/>
        <bgColor rgb="FFA0A0A0"/>
      </patternFill>
    </fill>
    <fill>
      <patternFill patternType="solid">
        <fgColor theme="5"/>
        <bgColor rgb="FF993366"/>
      </patternFill>
    </fill>
    <fill>
      <patternFill patternType="solid">
        <fgColor rgb="FF2F5597"/>
        <bgColor rgb="FF274EC0"/>
      </patternFill>
    </fill>
    <fill>
      <patternFill patternType="solid">
        <fgColor rgb="FFFFF2CC"/>
        <bgColor rgb="FFEEECE1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rgb="FFA0A0A0"/>
      </right>
      <top/>
      <bottom style="thin">
        <color rgb="FFA0A0A0"/>
      </bottom>
      <diagonal/>
    </border>
    <border diagonalUp="false" diagonalDown="false"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5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7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5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Percent" xfId="24"/>
    <cellStyle name="Pivot Table Category" xfId="25"/>
    <cellStyle name="Pivot Table Corner" xfId="26"/>
    <cellStyle name="Pivot Table Field" xfId="27"/>
    <cellStyle name="Pivot Table Result" xfId="28"/>
    <cellStyle name="Pivot Table Title" xfId="29"/>
    <cellStyle name="Pivot Table Value" xfId="30"/>
  </cellStyles>
  <dxfs count="4">
    <dxf>
      <fill>
        <patternFill patternType="solid">
          <bgColor rgb="FF000000"/>
        </patternFill>
      </fill>
    </dxf>
    <dxf>
      <fill>
        <patternFill patternType="solid">
          <fgColor rgb="FF274EC0"/>
          <bgColor rgb="FF000000"/>
        </patternFill>
      </fill>
    </dxf>
    <dxf>
      <fill>
        <patternFill patternType="solid">
          <fgColor rgb="FF5649A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EEECE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2CC"/>
      <rgbColor rgb="FFCCFFFF"/>
      <rgbColor rgb="FF660066"/>
      <rgbColor rgb="FFFF8080"/>
      <rgbColor rgb="FF274E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597"/>
      <rgbColor rgb="FF33CCCC"/>
      <rgbColor rgb="FF9BBB59"/>
      <rgbColor rgb="FFFFCC00"/>
      <rgbColor rgb="FFFF9900"/>
      <rgbColor rgb="FFFF6600"/>
      <rgbColor rgb="FF5649A0"/>
      <rgbColor rgb="FFA0A0A0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ndependent_politician" TargetMode="External"/><Relationship Id="rId2" Type="http://schemas.openxmlformats.org/officeDocument/2006/relationships/hyperlink" Target="https://en.wikipedia.org/wiki/Independent_politician" TargetMode="External"/><Relationship Id="rId3" Type="http://schemas.openxmlformats.org/officeDocument/2006/relationships/hyperlink" Target="https://en.wikipedia.org/wiki/Conservative_Party_(UK)" TargetMode="External"/><Relationship Id="rId4" Type="http://schemas.openxmlformats.org/officeDocument/2006/relationships/hyperlink" Target="https://en.wikipedia.org/wiki/Labour_Party_(UK)" TargetMode="External"/><Relationship Id="rId5" Type="http://schemas.openxmlformats.org/officeDocument/2006/relationships/hyperlink" Target="https://en.wikipedia.org/wiki/Reform_UK" TargetMode="External"/><Relationship Id="rId6" Type="http://schemas.openxmlformats.org/officeDocument/2006/relationships/hyperlink" Target="https://en.wikipedia.org/wiki/Green_Party_of_England_and_Wales" TargetMode="External"/><Relationship Id="rId7" Type="http://schemas.openxmlformats.org/officeDocument/2006/relationships/hyperlink" Target="https://en.wikipedia.org/wiki/Liberal_Democrats_(UK)" TargetMode="External"/><Relationship Id="rId8" Type="http://schemas.openxmlformats.org/officeDocument/2006/relationships/hyperlink" Target="https://en.wikipedia.org/wiki/Labour_and_Co-operative" TargetMode="External"/><Relationship Id="rId9" Type="http://schemas.openxmlformats.org/officeDocument/2006/relationships/hyperlink" Target="https://en.wikipedia.org/wiki/Labour_and_Co-operative" TargetMode="External"/><Relationship Id="rId10" Type="http://schemas.openxmlformats.org/officeDocument/2006/relationships/hyperlink" Target="https://en.wikipedia.org/wiki/Labour_and_Co-operative" TargetMode="External"/><Relationship Id="rId11" Type="http://schemas.openxmlformats.org/officeDocument/2006/relationships/hyperlink" Target="https://en.wikipedia.org/wiki/Conservative_Party_(UK)" TargetMode="External"/><Relationship Id="rId12" Type="http://schemas.openxmlformats.org/officeDocument/2006/relationships/hyperlink" Target="https://en.wikipedia.org/wiki/Conservative_Party_(UK)" TargetMode="External"/><Relationship Id="rId13" Type="http://schemas.openxmlformats.org/officeDocument/2006/relationships/hyperlink" Target="https://en.wikipedia.org/wiki/Conservative_Party_(UK)" TargetMode="External"/><Relationship Id="rId14" Type="http://schemas.openxmlformats.org/officeDocument/2006/relationships/hyperlink" Target="https://en.wikipedia.org/wiki/Green_Party_of_England_and_Wales" TargetMode="External"/><Relationship Id="rId15" Type="http://schemas.openxmlformats.org/officeDocument/2006/relationships/hyperlink" Target="https://en.wikipedia.org/wiki/Liberal_Democrats_(UK)" TargetMode="External"/><Relationship Id="rId16" Type="http://schemas.openxmlformats.org/officeDocument/2006/relationships/hyperlink" Target="https://en.wikipedia.org/wiki/Conservative_Party_(UK)" TargetMode="External"/><Relationship Id="rId17" Type="http://schemas.openxmlformats.org/officeDocument/2006/relationships/hyperlink" Target="https://en.wikipedia.org/wiki/Conservative_Party_(UK)" TargetMode="External"/><Relationship Id="rId18" Type="http://schemas.openxmlformats.org/officeDocument/2006/relationships/hyperlink" Target="https://en.wikipedia.org/wiki/Green_Party_of_England_and_Wales" TargetMode="External"/><Relationship Id="rId19" Type="http://schemas.openxmlformats.org/officeDocument/2006/relationships/hyperlink" Target="https://en.wikipedia.org/wiki/Green_Party_of_England_and_Wales" TargetMode="External"/><Relationship Id="rId20" Type="http://schemas.openxmlformats.org/officeDocument/2006/relationships/hyperlink" Target="https://en.wikipedia.org/wiki/Labour_Party_(UK)" TargetMode="External"/><Relationship Id="rId21" Type="http://schemas.openxmlformats.org/officeDocument/2006/relationships/hyperlink" Target="https://en.wikipedia.org/wiki/Labour_Party_(UK)" TargetMode="External"/><Relationship Id="rId22" Type="http://schemas.openxmlformats.org/officeDocument/2006/relationships/hyperlink" Target="https://en.wikipedia.org/wiki/Liberal_Democrats_(UK)" TargetMode="External"/><Relationship Id="rId23" Type="http://schemas.openxmlformats.org/officeDocument/2006/relationships/hyperlink" Target="https://en.wikipedia.org/wiki/Conservative_Party_(UK)" TargetMode="External"/><Relationship Id="rId24" Type="http://schemas.openxmlformats.org/officeDocument/2006/relationships/hyperlink" Target="https://en.wikipedia.org/wiki/Liberal_Democrats_(UK)" TargetMode="External"/><Relationship Id="rId25" Type="http://schemas.openxmlformats.org/officeDocument/2006/relationships/hyperlink" Target="https://en.wikipedia.org/wiki/Labour_Party_(UK)" TargetMode="External"/><Relationship Id="rId26" Type="http://schemas.openxmlformats.org/officeDocument/2006/relationships/hyperlink" Target="https://en.wikipedia.org/wiki/Green_Party_of_England_and_Wales" TargetMode="External"/><Relationship Id="rId27" Type="http://schemas.openxmlformats.org/officeDocument/2006/relationships/hyperlink" Target="https://en.wikipedia.org/wiki/Labour_Co-operative" TargetMode="External"/><Relationship Id="rId28" Type="http://schemas.openxmlformats.org/officeDocument/2006/relationships/hyperlink" Target="https://en.wikipedia.org/wiki/Labour_Co-operative" TargetMode="External"/><Relationship Id="rId29" Type="http://schemas.openxmlformats.org/officeDocument/2006/relationships/hyperlink" Target="https://en.wikipedia.org/wiki/Labour_Co-operative" TargetMode="External"/><Relationship Id="rId30" Type="http://schemas.openxmlformats.org/officeDocument/2006/relationships/hyperlink" Target="https://en.wikipedia.org/wiki/Conservative_Party_(UK)" TargetMode="External"/><Relationship Id="rId31" Type="http://schemas.openxmlformats.org/officeDocument/2006/relationships/hyperlink" Target="https://en.wikipedia.org/wiki/Conservative_Party_(UK)" TargetMode="External"/><Relationship Id="rId32" Type="http://schemas.openxmlformats.org/officeDocument/2006/relationships/hyperlink" Target="https://en.wikipedia.org/wiki/Conservative_Party_(UK)" TargetMode="External"/><Relationship Id="rId33" Type="http://schemas.openxmlformats.org/officeDocument/2006/relationships/hyperlink" Target="https://en.wikipedia.org/wiki/Green_Party_of_England_and_Wales" TargetMode="External"/><Relationship Id="rId34" Type="http://schemas.openxmlformats.org/officeDocument/2006/relationships/hyperlink" Target="https://en.wikipedia.org/wiki/Liberal_Democrats_(UK)" TargetMode="External"/><Relationship Id="rId35" Type="http://schemas.openxmlformats.org/officeDocument/2006/relationships/hyperlink" Target="https://en.wikipedia.org/wiki/Labour_Co-operative" TargetMode="External"/><Relationship Id="rId36" Type="http://schemas.openxmlformats.org/officeDocument/2006/relationships/hyperlink" Target="https://en.wikipedia.org/wiki/Labour_Co-operative" TargetMode="External"/><Relationship Id="rId37" Type="http://schemas.openxmlformats.org/officeDocument/2006/relationships/hyperlink" Target="https://en.wikipedia.org/wiki/Labour_Co-operative" TargetMode="External"/><Relationship Id="rId38" Type="http://schemas.openxmlformats.org/officeDocument/2006/relationships/hyperlink" Target="https://en.wikipedia.org/wiki/Conservative_Party_(UK)" TargetMode="External"/><Relationship Id="rId39" Type="http://schemas.openxmlformats.org/officeDocument/2006/relationships/hyperlink" Target="https://en.wikipedia.org/wiki/Conservative_Party_(UK)" TargetMode="External"/><Relationship Id="rId40" Type="http://schemas.openxmlformats.org/officeDocument/2006/relationships/hyperlink" Target="https://en.wikipedia.org/wiki/Conservative_Party_(UK)" TargetMode="External"/><Relationship Id="rId41" Type="http://schemas.openxmlformats.org/officeDocument/2006/relationships/hyperlink" Target="https://en.wikipedia.org/wiki/Green_Party_of_England_and_Wales" TargetMode="External"/><Relationship Id="rId42" Type="http://schemas.openxmlformats.org/officeDocument/2006/relationships/hyperlink" Target="https://en.wikipedia.org/wiki/Liberal_Democrats_(UK)" TargetMode="External"/><Relationship Id="rId43" Type="http://schemas.openxmlformats.org/officeDocument/2006/relationships/hyperlink" Target="https://en.wikipedia.org/wiki/Labour_Co-operative" TargetMode="External"/><Relationship Id="rId44" Type="http://schemas.openxmlformats.org/officeDocument/2006/relationships/hyperlink" Target="https://en.wikipedia.org/wiki/Labour_Co-operative" TargetMode="External"/><Relationship Id="rId45" Type="http://schemas.openxmlformats.org/officeDocument/2006/relationships/hyperlink" Target="https://en.wikipedia.org/wiki/Labour_Co-operative" TargetMode="External"/><Relationship Id="rId46" Type="http://schemas.openxmlformats.org/officeDocument/2006/relationships/hyperlink" Target="https://en.wikipedia.org/wiki/Conservative_Party_(UK)" TargetMode="External"/><Relationship Id="rId47" Type="http://schemas.openxmlformats.org/officeDocument/2006/relationships/hyperlink" Target="https://en.wikipedia.org/wiki/Conservative_Party_(UK)" TargetMode="External"/><Relationship Id="rId48" Type="http://schemas.openxmlformats.org/officeDocument/2006/relationships/hyperlink" Target="https://en.wikipedia.org/wiki/Green_Party_of_England_and_Wales" TargetMode="External"/><Relationship Id="rId49" Type="http://schemas.openxmlformats.org/officeDocument/2006/relationships/hyperlink" Target="https://en.wikipedia.org/wiki/Conservative_Party_(UK)" TargetMode="External"/><Relationship Id="rId50" Type="http://schemas.openxmlformats.org/officeDocument/2006/relationships/hyperlink" Target="https://en.wikipedia.org/wiki/Liberal_Democrats_(UK)" TargetMode="External"/><Relationship Id="rId51" Type="http://schemas.openxmlformats.org/officeDocument/2006/relationships/hyperlink" Target="https://en.wikipedia.org/wiki/Conservative_Party_(UK)" TargetMode="External"/><Relationship Id="rId52" Type="http://schemas.openxmlformats.org/officeDocument/2006/relationships/hyperlink" Target="https://en.wikipedia.org/wiki/Conservative_Party_(UK)" TargetMode="External"/><Relationship Id="rId53" Type="http://schemas.openxmlformats.org/officeDocument/2006/relationships/hyperlink" Target="https://en.wikipedia.org/wiki/Labour_Party_(UK)" TargetMode="External"/><Relationship Id="rId54" Type="http://schemas.openxmlformats.org/officeDocument/2006/relationships/hyperlink" Target="https://en.wikipedia.org/wiki/Labour_Party_(UK)" TargetMode="External"/><Relationship Id="rId55" Type="http://schemas.openxmlformats.org/officeDocument/2006/relationships/hyperlink" Target="https://en.wikipedia.org/wiki/Green_Party_of_England_and_Wales" TargetMode="External"/><Relationship Id="rId56" Type="http://schemas.openxmlformats.org/officeDocument/2006/relationships/hyperlink" Target="https://en.wikipedia.org/wiki/Liberal_Democrats_(UK)" TargetMode="External"/><Relationship Id="rId57" Type="http://schemas.openxmlformats.org/officeDocument/2006/relationships/hyperlink" Target="https://en.wikipedia.org/wiki/Social_Democratic_Party_(UK,_1990-present)" TargetMode="External"/><Relationship Id="rId58" Type="http://schemas.openxmlformats.org/officeDocument/2006/relationships/hyperlink" Target="https://en.wikipedia.org/wiki/Christian_Peoples_Alliance" TargetMode="External"/><Relationship Id="rId59" Type="http://schemas.openxmlformats.org/officeDocument/2006/relationships/hyperlink" Target="https://en.wikipedia.org/wiki/Independent_politician" TargetMode="External"/><Relationship Id="rId60" Type="http://schemas.openxmlformats.org/officeDocument/2006/relationships/hyperlink" Target="https://en.wikipedia.org/wiki/Independent_politician" TargetMode="External"/><Relationship Id="rId61" Type="http://schemas.openxmlformats.org/officeDocument/2006/relationships/hyperlink" Target="https://en.wikipedia.org/wiki/Independent_politician" TargetMode="External"/><Relationship Id="rId62" Type="http://schemas.openxmlformats.org/officeDocument/2006/relationships/hyperlink" Target="https://en.wikipedia.org/wiki/Conservative_Party_(UK)" TargetMode="External"/><Relationship Id="rId63" Type="http://schemas.openxmlformats.org/officeDocument/2006/relationships/hyperlink" Target="https://en.wikipedia.org/wiki/Conservative_Party_(UK)" TargetMode="External"/><Relationship Id="rId64" Type="http://schemas.openxmlformats.org/officeDocument/2006/relationships/hyperlink" Target="https://en.wikipedia.org/wiki/Conservative_Party_(UK)" TargetMode="External"/><Relationship Id="rId65" Type="http://schemas.openxmlformats.org/officeDocument/2006/relationships/hyperlink" Target="https://en.wikipedia.org/wiki/Labour_Party_(UK)" TargetMode="External"/><Relationship Id="rId66" Type="http://schemas.openxmlformats.org/officeDocument/2006/relationships/hyperlink" Target="https://en.wikipedia.org/wiki/Labour_Party_(UK)" TargetMode="External"/><Relationship Id="rId67" Type="http://schemas.openxmlformats.org/officeDocument/2006/relationships/hyperlink" Target="https://en.wikipedia.org/wiki/Labour_Party_(UK)" TargetMode="External"/><Relationship Id="rId68" Type="http://schemas.openxmlformats.org/officeDocument/2006/relationships/hyperlink" Target="https://en.wikipedia.org/wiki/Green_Party_of_England_and_Wales" TargetMode="External"/><Relationship Id="rId69" Type="http://schemas.openxmlformats.org/officeDocument/2006/relationships/hyperlink" Target="https://en.wikipedia.org/wiki/Reform_UK" TargetMode="External"/><Relationship Id="rId70" Type="http://schemas.openxmlformats.org/officeDocument/2006/relationships/hyperlink" Target="https://en.wikipedia.org/wiki/Liberal_Democrats_(UK)" TargetMode="External"/><Relationship Id="rId71" Type="http://schemas.openxmlformats.org/officeDocument/2006/relationships/hyperlink" Target="https://en.wikipedia.org/wiki/Conservative_Party_(UK)" TargetMode="External"/><Relationship Id="rId72" Type="http://schemas.openxmlformats.org/officeDocument/2006/relationships/hyperlink" Target="https://en.wikipedia.org/wiki/Conservative_Party_(UK)" TargetMode="External"/><Relationship Id="rId73" Type="http://schemas.openxmlformats.org/officeDocument/2006/relationships/hyperlink" Target="https://en.wikipedia.org/wiki/Conservative_Party_(UK)" TargetMode="External"/><Relationship Id="rId74" Type="http://schemas.openxmlformats.org/officeDocument/2006/relationships/hyperlink" Target="https://en.wikipedia.org/wiki/Labour_Party_(UK)" TargetMode="External"/><Relationship Id="rId75" Type="http://schemas.openxmlformats.org/officeDocument/2006/relationships/hyperlink" Target="https://en.wikipedia.org/wiki/Labour_Party_(UK)" TargetMode="External"/><Relationship Id="rId76" Type="http://schemas.openxmlformats.org/officeDocument/2006/relationships/hyperlink" Target="https://en.wikipedia.org/wiki/Labour_Party_(UK)" TargetMode="External"/><Relationship Id="rId77" Type="http://schemas.openxmlformats.org/officeDocument/2006/relationships/hyperlink" Target="https://en.wikipedia.org/wiki/Green_Party_of_England_and_Wales" TargetMode="External"/><Relationship Id="rId78" Type="http://schemas.openxmlformats.org/officeDocument/2006/relationships/hyperlink" Target="https://en.wikipedia.org/wiki/Liberal_Democrats_(UK)" TargetMode="External"/><Relationship Id="rId79" Type="http://schemas.openxmlformats.org/officeDocument/2006/relationships/hyperlink" Target="https://en.wikipedia.org/wiki/Labour_Co-operative" TargetMode="External"/><Relationship Id="rId80" Type="http://schemas.openxmlformats.org/officeDocument/2006/relationships/hyperlink" Target="https://en.wikipedia.org/wiki/Labour_Co-operative" TargetMode="External"/><Relationship Id="rId81" Type="http://schemas.openxmlformats.org/officeDocument/2006/relationships/hyperlink" Target="https://en.wikipedia.org/wiki/Conservative_Party_(UK)" TargetMode="External"/><Relationship Id="rId82" Type="http://schemas.openxmlformats.org/officeDocument/2006/relationships/hyperlink" Target="https://en.wikipedia.org/wiki/Conservative_Party_(UK)" TargetMode="External"/><Relationship Id="rId83" Type="http://schemas.openxmlformats.org/officeDocument/2006/relationships/hyperlink" Target="https://en.wikipedia.org/wiki/Green_Party_of_England_and_Wales" TargetMode="External"/><Relationship Id="rId84" Type="http://schemas.openxmlformats.org/officeDocument/2006/relationships/hyperlink" Target="https://en.wikipedia.org/wiki/Liberal_Democrats_(UK)" TargetMode="External"/><Relationship Id="rId85" Type="http://schemas.openxmlformats.org/officeDocument/2006/relationships/hyperlink" Target="https://en.wikipedia.org/wiki/Conservative_Party_(UK)" TargetMode="External"/><Relationship Id="rId86" Type="http://schemas.openxmlformats.org/officeDocument/2006/relationships/hyperlink" Target="https://en.wikipedia.org/wiki/Conservative_Party_(UK)" TargetMode="External"/><Relationship Id="rId87" Type="http://schemas.openxmlformats.org/officeDocument/2006/relationships/hyperlink" Target="https://en.wikipedia.org/wiki/Labour_Party_(UK)" TargetMode="External"/><Relationship Id="rId88" Type="http://schemas.openxmlformats.org/officeDocument/2006/relationships/hyperlink" Target="https://en.wikipedia.org/wiki/Labour_Party_(UK)" TargetMode="External"/><Relationship Id="rId89" Type="http://schemas.openxmlformats.org/officeDocument/2006/relationships/hyperlink" Target="https://en.wikipedia.org/wiki/Green_Party_of_England_and_Wales" TargetMode="External"/><Relationship Id="rId90" Type="http://schemas.openxmlformats.org/officeDocument/2006/relationships/hyperlink" Target="https://en.wikipedia.org/wiki/Liberal_Democrats_(UK)" TargetMode="External"/><Relationship Id="rId91" Type="http://schemas.openxmlformats.org/officeDocument/2006/relationships/hyperlink" Target="https://en.wikipedia.org/wiki/Conservative_Party_(UK)" TargetMode="External"/><Relationship Id="rId92" Type="http://schemas.openxmlformats.org/officeDocument/2006/relationships/hyperlink" Target="https://en.wikipedia.org/wiki/Conservative_Party_(UK)" TargetMode="External"/><Relationship Id="rId93" Type="http://schemas.openxmlformats.org/officeDocument/2006/relationships/hyperlink" Target="https://en.wikipedia.org/wiki/Conservative_Party_(UK)" TargetMode="External"/><Relationship Id="rId94" Type="http://schemas.openxmlformats.org/officeDocument/2006/relationships/hyperlink" Target="https://en.wikipedia.org/wiki/Labour_Party_(UK)" TargetMode="External"/><Relationship Id="rId95" Type="http://schemas.openxmlformats.org/officeDocument/2006/relationships/hyperlink" Target="https://en.wikipedia.org/wiki/Labour_Party_(UK)" TargetMode="External"/><Relationship Id="rId96" Type="http://schemas.openxmlformats.org/officeDocument/2006/relationships/hyperlink" Target="https://en.wikipedia.org/wiki/Labour_Party_(UK)" TargetMode="External"/><Relationship Id="rId97" Type="http://schemas.openxmlformats.org/officeDocument/2006/relationships/hyperlink" Target="https://en.wikipedia.org/wiki/Liberal_Democrats_(UK)" TargetMode="External"/><Relationship Id="rId98" Type="http://schemas.openxmlformats.org/officeDocument/2006/relationships/hyperlink" Target="https://en.wikipedia.org/wiki/Green_Party_of_England_and_Wales" TargetMode="External"/><Relationship Id="rId99" Type="http://schemas.openxmlformats.org/officeDocument/2006/relationships/hyperlink" Target="https://en.wikipedia.org/wiki/Liberal_Democrats_(UK)" TargetMode="External"/><Relationship Id="rId100" Type="http://schemas.openxmlformats.org/officeDocument/2006/relationships/hyperlink" Target="https://en.wikipedia.org/wiki/Liberal_Democrats_(UK)" TargetMode="External"/><Relationship Id="rId101" Type="http://schemas.openxmlformats.org/officeDocument/2006/relationships/hyperlink" Target="https://en.wikipedia.org/wiki/Conservative_Party_(UK)" TargetMode="External"/><Relationship Id="rId102" Type="http://schemas.openxmlformats.org/officeDocument/2006/relationships/hyperlink" Target="https://en.wikipedia.org/wiki/Conservative_Party_(UK)" TargetMode="External"/><Relationship Id="rId103" Type="http://schemas.openxmlformats.org/officeDocument/2006/relationships/hyperlink" Target="https://en.wikipedia.org/wiki/Conservative_Party_(UK)" TargetMode="External"/><Relationship Id="rId104" Type="http://schemas.openxmlformats.org/officeDocument/2006/relationships/hyperlink" Target="https://en.wikipedia.org/wiki/Labour_Party_(UK)" TargetMode="External"/><Relationship Id="rId105" Type="http://schemas.openxmlformats.org/officeDocument/2006/relationships/hyperlink" Target="https://en.wikipedia.org/wiki/Labour_Party_(UK)" TargetMode="External"/><Relationship Id="rId106" Type="http://schemas.openxmlformats.org/officeDocument/2006/relationships/hyperlink" Target="https://en.wikipedia.org/wiki/Labour_Party_(UK)" TargetMode="External"/><Relationship Id="rId107" Type="http://schemas.openxmlformats.org/officeDocument/2006/relationships/hyperlink" Target="https://en.wikipedia.org/wiki/Green_Party_of_England_and_Wales" TargetMode="External"/><Relationship Id="rId108" Type="http://schemas.openxmlformats.org/officeDocument/2006/relationships/hyperlink" Target="https://en.wikipedia.org/wiki/Liberal_Democrats_(UK)" TargetMode="External"/><Relationship Id="rId109" Type="http://schemas.openxmlformats.org/officeDocument/2006/relationships/hyperlink" Target="https://en.wikipedia.org/wiki/Christian_Peoples_Alliance" TargetMode="External"/><Relationship Id="rId110" Type="http://schemas.openxmlformats.org/officeDocument/2006/relationships/hyperlink" Target="https://en.wikipedia.org/wiki/Conservative_Party_(UK)" TargetMode="External"/><Relationship Id="rId111" Type="http://schemas.openxmlformats.org/officeDocument/2006/relationships/hyperlink" Target="https://en.wikipedia.org/wiki/Conservative_Party_(UK)" TargetMode="External"/><Relationship Id="rId112" Type="http://schemas.openxmlformats.org/officeDocument/2006/relationships/hyperlink" Target="https://en.wikipedia.org/wiki/Labour_Party_(UK)" TargetMode="External"/><Relationship Id="rId113" Type="http://schemas.openxmlformats.org/officeDocument/2006/relationships/hyperlink" Target="https://en.wikipedia.org/wiki/Labour_Party_(UK)" TargetMode="External"/><Relationship Id="rId114" Type="http://schemas.openxmlformats.org/officeDocument/2006/relationships/hyperlink" Target="https://en.wikipedia.org/wiki/Green_Party_of_England_and_Wales" TargetMode="External"/><Relationship Id="rId115" Type="http://schemas.openxmlformats.org/officeDocument/2006/relationships/hyperlink" Target="https://en.wikipedia.org/wiki/Liberal_Democrats_(UK)" TargetMode="External"/><Relationship Id="rId116" Type="http://schemas.openxmlformats.org/officeDocument/2006/relationships/hyperlink" Target="https://en.wikipedia.org/wiki/Independent_politician" TargetMode="External"/><Relationship Id="rId117" Type="http://schemas.openxmlformats.org/officeDocument/2006/relationships/hyperlink" Target="https://en.wikipedia.org/wiki/Independent_politician" TargetMode="External"/><Relationship Id="rId118" Type="http://schemas.openxmlformats.org/officeDocument/2006/relationships/hyperlink" Target="https://en.wikipedia.org/wiki/Labour_Co-operative" TargetMode="External"/><Relationship Id="rId119" Type="http://schemas.openxmlformats.org/officeDocument/2006/relationships/hyperlink" Target="https://en.wikipedia.org/wiki/Labour_Co-operative" TargetMode="External"/><Relationship Id="rId120" Type="http://schemas.openxmlformats.org/officeDocument/2006/relationships/hyperlink" Target="https://en.wikipedia.org/wiki/Lauren_Edwards" TargetMode="External"/><Relationship Id="rId121" Type="http://schemas.openxmlformats.org/officeDocument/2006/relationships/hyperlink" Target="https://en.wikipedia.org/wiki/Labour_Co-operative" TargetMode="External"/><Relationship Id="rId122" Type="http://schemas.openxmlformats.org/officeDocument/2006/relationships/hyperlink" Target="https://en.wikipedia.org/wiki/Tris_Osborne" TargetMode="External"/><Relationship Id="rId123" Type="http://schemas.openxmlformats.org/officeDocument/2006/relationships/hyperlink" Target="https://en.wikipedia.org/wiki/Conservative_Party_(UK)" TargetMode="External"/><Relationship Id="rId124" Type="http://schemas.openxmlformats.org/officeDocument/2006/relationships/hyperlink" Target="https://en.wikipedia.org/wiki/Conservative_Party_(UK)" TargetMode="External"/><Relationship Id="rId125" Type="http://schemas.openxmlformats.org/officeDocument/2006/relationships/hyperlink" Target="https://en.wikipedia.org/wiki/Conservative_Party_(UK)" TargetMode="External"/><Relationship Id="rId126" Type="http://schemas.openxmlformats.org/officeDocument/2006/relationships/hyperlink" Target="https://en.wikipedia.org/wiki/Green_Party_of_England_and_Wales" TargetMode="External"/><Relationship Id="rId127" Type="http://schemas.openxmlformats.org/officeDocument/2006/relationships/hyperlink" Target="https://en.wikipedia.org/wiki/Liberal_Democrats_(UK)" TargetMode="External"/><Relationship Id="rId128" Type="http://schemas.openxmlformats.org/officeDocument/2006/relationships/hyperlink" Target="https://en.wikipedia.org/wiki/Labour_Co-operative" TargetMode="External"/><Relationship Id="rId129" Type="http://schemas.openxmlformats.org/officeDocument/2006/relationships/hyperlink" Target="https://en.wikipedia.org/wiki/Labour_Co-operative" TargetMode="External"/><Relationship Id="rId130" Type="http://schemas.openxmlformats.org/officeDocument/2006/relationships/hyperlink" Target="https://en.wikipedia.org/wiki/Labour_Co-operative" TargetMode="External"/><Relationship Id="rId131" Type="http://schemas.openxmlformats.org/officeDocument/2006/relationships/hyperlink" Target="https://en.wikipedia.org/wiki/Conservative_Party_(UK)" TargetMode="External"/><Relationship Id="rId132" Type="http://schemas.openxmlformats.org/officeDocument/2006/relationships/hyperlink" Target="https://en.wikipedia.org/wiki/Conservative_Party_(UK)" TargetMode="External"/><Relationship Id="rId133" Type="http://schemas.openxmlformats.org/officeDocument/2006/relationships/hyperlink" Target="https://en.wikipedia.org/wiki/Conservative_Party_(UK)" TargetMode="External"/><Relationship Id="rId134" Type="http://schemas.openxmlformats.org/officeDocument/2006/relationships/hyperlink" Target="https://en.wikipedia.org/wiki/Green_Party_of_England_and_Wales" TargetMode="External"/><Relationship Id="rId135" Type="http://schemas.openxmlformats.org/officeDocument/2006/relationships/hyperlink" Target="https://en.wikipedia.org/wiki/Liberal_Democrats_(UK)" TargetMode="External"/><Relationship Id="rId136" Type="http://schemas.openxmlformats.org/officeDocument/2006/relationships/hyperlink" Target="https://en.wikipedia.org/wiki/Conservative_Party_(UK)" TargetMode="External"/><Relationship Id="rId137" Type="http://schemas.openxmlformats.org/officeDocument/2006/relationships/hyperlink" Target="https://en.wikipedia.org/wiki/Liberal_Democrats_(UK)" TargetMode="External"/><Relationship Id="rId138" Type="http://schemas.openxmlformats.org/officeDocument/2006/relationships/hyperlink" Target="https://en.wikipedia.org/wiki/Labour_Party_(UK)" TargetMode="External"/><Relationship Id="rId139" Type="http://schemas.openxmlformats.org/officeDocument/2006/relationships/hyperlink" Target="https://en.wikipedia.org/wiki/Green_Party_of_England_and_Wales" TargetMode="External"/><Relationship Id="rId140" Type="http://schemas.openxmlformats.org/officeDocument/2006/relationships/hyperlink" Target="https://en.wikipedia.org/wiki/Labour_Co-operative" TargetMode="External"/><Relationship Id="rId141" Type="http://schemas.openxmlformats.org/officeDocument/2006/relationships/hyperlink" Target="https://en.wikipedia.org/wiki/Labour_Co-operative" TargetMode="External"/><Relationship Id="rId142" Type="http://schemas.openxmlformats.org/officeDocument/2006/relationships/hyperlink" Target="https://en.wikipedia.org/wiki/Labour_Co-operative" TargetMode="External"/><Relationship Id="rId143" Type="http://schemas.openxmlformats.org/officeDocument/2006/relationships/hyperlink" Target="https://en.wikipedia.org/wiki/Conservative_Party_(UK)" TargetMode="External"/><Relationship Id="rId144" Type="http://schemas.openxmlformats.org/officeDocument/2006/relationships/hyperlink" Target="https://en.wikipedia.org/wiki/Conservative_Party_(UK)" TargetMode="External"/><Relationship Id="rId145" Type="http://schemas.openxmlformats.org/officeDocument/2006/relationships/hyperlink" Target="https://en.wikipedia.org/wiki/Conservative_Party_(UK)" TargetMode="External"/><Relationship Id="rId146" Type="http://schemas.openxmlformats.org/officeDocument/2006/relationships/hyperlink" Target="https://en.wikipedia.org/wiki/Green_Party_of_England_and_Wales" TargetMode="External"/><Relationship Id="rId147" Type="http://schemas.openxmlformats.org/officeDocument/2006/relationships/hyperlink" Target="https://en.wikipedia.org/wiki/Liberal_Democrats_(UK)" TargetMode="External"/><Relationship Id="rId148" Type="http://schemas.openxmlformats.org/officeDocument/2006/relationships/hyperlink" Target="https://en.wikipedia.org/wiki/Heritage_Party_(UK)" TargetMode="External"/><Relationship Id="rId149" Type="http://schemas.openxmlformats.org/officeDocument/2006/relationships/hyperlink" Target="https://en.wikipedia.org/wiki/Conservative_Party_(UK)" TargetMode="External"/><Relationship Id="rId150" Type="http://schemas.openxmlformats.org/officeDocument/2006/relationships/hyperlink" Target="https://en.wikipedia.org/wiki/Conservative_Party_(UK)" TargetMode="External"/><Relationship Id="rId151" Type="http://schemas.openxmlformats.org/officeDocument/2006/relationships/hyperlink" Target="https://en.wikipedia.org/wiki/Conservative_Party_(UK)" TargetMode="External"/><Relationship Id="rId152" Type="http://schemas.openxmlformats.org/officeDocument/2006/relationships/hyperlink" Target="https://en.wikipedia.org/wiki/Labour_Party_(UK)" TargetMode="External"/><Relationship Id="rId153" Type="http://schemas.openxmlformats.org/officeDocument/2006/relationships/hyperlink" Target="https://en.wikipedia.org/wiki/Labour_Party_(UK)" TargetMode="External"/><Relationship Id="rId154" Type="http://schemas.openxmlformats.org/officeDocument/2006/relationships/hyperlink" Target="https://en.wikipedia.org/wiki/Labour_Party_(UK)" TargetMode="External"/><Relationship Id="rId155" Type="http://schemas.openxmlformats.org/officeDocument/2006/relationships/hyperlink" Target="https://en.wikipedia.org/wiki/Green_Party_of_England_and_Wales" TargetMode="External"/><Relationship Id="rId156" Type="http://schemas.openxmlformats.org/officeDocument/2006/relationships/hyperlink" Target="https://en.wikipedia.org/wiki/Liberal_Democrats_(UK)" TargetMode="External"/><Relationship Id="rId157" Type="http://schemas.openxmlformats.org/officeDocument/2006/relationships/hyperlink" Target="https://en.wikipedia.org/wiki/Liberal_Democrats_(UK)" TargetMode="External"/><Relationship Id="rId158" Type="http://schemas.openxmlformats.org/officeDocument/2006/relationships/hyperlink" Target="https://en.wikipedia.org/wiki/Liberal_Democrats_(UK)" TargetMode="External"/><Relationship Id="rId159" Type="http://schemas.openxmlformats.org/officeDocument/2006/relationships/hyperlink" Target="https://en.wikipedia.org/wiki/Labour_Co-operative" TargetMode="External"/><Relationship Id="rId160" Type="http://schemas.openxmlformats.org/officeDocument/2006/relationships/hyperlink" Target="https://en.wikipedia.org/wiki/Labour_Co-operative" TargetMode="External"/><Relationship Id="rId161" Type="http://schemas.openxmlformats.org/officeDocument/2006/relationships/hyperlink" Target="https://en.wikipedia.org/wiki/Labour_Co-operative" TargetMode="External"/><Relationship Id="rId162" Type="http://schemas.openxmlformats.org/officeDocument/2006/relationships/hyperlink" Target="https://en.wikipedia.org/wiki/Conservative_Party_(UK)" TargetMode="External"/><Relationship Id="rId163" Type="http://schemas.openxmlformats.org/officeDocument/2006/relationships/hyperlink" Target="https://en.wikipedia.org/wiki/Conservative_Party_(UK)" TargetMode="External"/><Relationship Id="rId164" Type="http://schemas.openxmlformats.org/officeDocument/2006/relationships/hyperlink" Target="https://en.wikipedia.org/wiki/Conservative_Party_(UK)" TargetMode="External"/><Relationship Id="rId165" Type="http://schemas.openxmlformats.org/officeDocument/2006/relationships/hyperlink" Target="https://en.wikipedia.org/wiki/Green_Party_of_England_and_Wales" TargetMode="External"/><Relationship Id="rId166" Type="http://schemas.openxmlformats.org/officeDocument/2006/relationships/hyperlink" Target="https://en.wikipedia.org/wiki/Liberal_Democrats_(UK)" TargetMode="External"/><Relationship Id="rId167" Type="http://schemas.openxmlformats.org/officeDocument/2006/relationships/hyperlink" Target="https://en.wikipedia.org/wiki/Independent_politician" TargetMode="External"/><Relationship Id="rId168" Type="http://schemas.openxmlformats.org/officeDocument/2006/relationships/hyperlink" Target="https://en.wikipedia.org/wiki/Labour_Co-operative" TargetMode="External"/><Relationship Id="rId169" Type="http://schemas.openxmlformats.org/officeDocument/2006/relationships/hyperlink" Target="https://en.wikipedia.org/wiki/Labour_Co-operative" TargetMode="External"/><Relationship Id="rId170" Type="http://schemas.openxmlformats.org/officeDocument/2006/relationships/hyperlink" Target="https://en.wikipedia.org/wiki/Conservative_Party_(UK)" TargetMode="External"/><Relationship Id="rId171" Type="http://schemas.openxmlformats.org/officeDocument/2006/relationships/hyperlink" Target="https://en.wikipedia.org/wiki/Conservative_Party_(UK)" TargetMode="External"/><Relationship Id="rId172" Type="http://schemas.openxmlformats.org/officeDocument/2006/relationships/hyperlink" Target="https://en.wikipedia.org/wiki/Green_Party_of_England_and_Wales" TargetMode="External"/><Relationship Id="rId173" Type="http://schemas.openxmlformats.org/officeDocument/2006/relationships/hyperlink" Target="https://en.wikipedia.org/wiki/Liberal_Democrats_(UK)" TargetMode="External"/><Relationship Id="rId174" Type="http://schemas.openxmlformats.org/officeDocument/2006/relationships/hyperlink" Target="https://en.wikipedia.org/wiki/Labour_Co-operative" TargetMode="External"/><Relationship Id="rId175" Type="http://schemas.openxmlformats.org/officeDocument/2006/relationships/hyperlink" Target="https://en.wikipedia.org/wiki/Labour_Co-operative" TargetMode="External"/><Relationship Id="rId176" Type="http://schemas.openxmlformats.org/officeDocument/2006/relationships/hyperlink" Target="https://en.wikipedia.org/wiki/Labour_Co-operative" TargetMode="External"/><Relationship Id="rId177" Type="http://schemas.openxmlformats.org/officeDocument/2006/relationships/hyperlink" Target="https://en.wikipedia.org/wiki/Conservative_Party_(UK)" TargetMode="External"/><Relationship Id="rId178" Type="http://schemas.openxmlformats.org/officeDocument/2006/relationships/hyperlink" Target="https://en.wikipedia.org/wiki/Conservative_Party_(UK)" TargetMode="External"/><Relationship Id="rId179" Type="http://schemas.openxmlformats.org/officeDocument/2006/relationships/hyperlink" Target="https://en.wikipedia.org/wiki/Conservative_Party_(UK)" TargetMode="External"/><Relationship Id="rId180" Type="http://schemas.openxmlformats.org/officeDocument/2006/relationships/hyperlink" Target="https://en.wikipedia.org/wiki/Green_Party_of_England_and_Wales" TargetMode="External"/><Relationship Id="rId181" Type="http://schemas.openxmlformats.org/officeDocument/2006/relationships/hyperlink" Target="https://en.wikipedia.org/wiki/Liberal_Democrats_(UK)" TargetMode="External"/><Relationship Id="rId182" Type="http://schemas.openxmlformats.org/officeDocument/2006/relationships/hyperlink" Target="https://en.wikipedia.org/wiki/Labour_Co-operative" TargetMode="External"/><Relationship Id="rId183" Type="http://schemas.openxmlformats.org/officeDocument/2006/relationships/hyperlink" Target="https://en.wikipedia.org/wiki/Labour_Co-operative" TargetMode="External"/><Relationship Id="rId184" Type="http://schemas.openxmlformats.org/officeDocument/2006/relationships/hyperlink" Target="https://en.wikipedia.org/wiki/Conservative_Party_(UK)" TargetMode="External"/><Relationship Id="rId185" Type="http://schemas.openxmlformats.org/officeDocument/2006/relationships/hyperlink" Target="https://en.wikipedia.org/wiki/Conservative_Party_(UK)" TargetMode="External"/><Relationship Id="rId186" Type="http://schemas.openxmlformats.org/officeDocument/2006/relationships/hyperlink" Target="https://en.wikipedia.org/wiki/Green_Party_of_England_and_Wales" TargetMode="External"/><Relationship Id="rId187" Type="http://schemas.openxmlformats.org/officeDocument/2006/relationships/hyperlink" Target="https://en.wikipedia.org/wiki/Liberal_Democrats_(UK)" TargetMode="External"/><Relationship Id="rId188" Type="http://schemas.openxmlformats.org/officeDocument/2006/relationships/hyperlink" Target="https://en.wikipedia.org/wiki/Social_Democratic_Party_(UK,_1990-present)" TargetMode="External"/><Relationship Id="rId18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E1" colorId="64" zoomScale="90" zoomScaleNormal="90" zoomScalePageLayoutView="100" workbookViewId="0">
      <selection pane="topLeft" activeCell="D8" activeCellId="0" sqref="D8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3.5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3495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0.2761</v>
      </c>
    </row>
    <row r="4" customFormat="false" ht="15" hidden="false" customHeight="true" outlineLevel="0" collapsed="false">
      <c r="A4" s="3" t="s">
        <v>3</v>
      </c>
      <c r="B4" s="6" t="n">
        <v>5</v>
      </c>
    </row>
    <row r="5" customFormat="false" ht="42.7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10</v>
      </c>
    </row>
    <row r="7" customFormat="false" ht="15" hidden="false" customHeight="true" outlineLevel="0" collapsed="false">
      <c r="A7" s="12" t="s">
        <v>12</v>
      </c>
      <c r="B7" s="12" t="s">
        <v>13</v>
      </c>
      <c r="C7" s="13" t="n">
        <v>118</v>
      </c>
      <c r="D7" s="14" t="n">
        <f aca="false">C7*100/SUM($C$7:$C$13)</f>
        <v>12.2916666666667</v>
      </c>
      <c r="E7" s="14" t="n">
        <f aca="false">C7*100/$B$1</f>
        <v>3.37625178826896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46.6511627906977</v>
      </c>
      <c r="G7" s="14" t="n">
        <f aca="false">F7*100/$B$1</f>
        <v>1.33479721861796</v>
      </c>
    </row>
    <row r="8" customFormat="false" ht="27.75" hidden="false" customHeight="true" outlineLevel="0" collapsed="false">
      <c r="A8" s="12" t="s">
        <v>14</v>
      </c>
      <c r="B8" s="12" t="s">
        <v>15</v>
      </c>
      <c r="C8" s="13" t="n">
        <v>190</v>
      </c>
      <c r="D8" s="14" t="n">
        <f aca="false">C8*100/SUM($C$7:$C$13)</f>
        <v>19.7916666666667</v>
      </c>
      <c r="E8" s="14" t="n">
        <f aca="false">C8*100/$B$1</f>
        <v>5.43633762517883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124.230769230769</v>
      </c>
      <c r="G8" s="14" t="n">
        <f aca="false">F8*100/$B$1</f>
        <v>3.55452844723231</v>
      </c>
    </row>
    <row r="9" customFormat="false" ht="15" hidden="false" customHeight="true" outlineLevel="0" collapsed="false">
      <c r="A9" s="15" t="s">
        <v>16</v>
      </c>
      <c r="B9" s="15" t="s">
        <v>17</v>
      </c>
      <c r="C9" s="16" t="n">
        <v>34</v>
      </c>
      <c r="D9" s="17" t="n">
        <f aca="false">C9*100/SUM($C$7:$C$13)</f>
        <v>3.54166666666667</v>
      </c>
      <c r="E9" s="17" t="n">
        <f aca="false">C9*100/$B$1</f>
        <v>0.972818311874106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80.75</v>
      </c>
      <c r="G9" s="17" t="n">
        <f aca="false">F9*100/$B$1</f>
        <v>2.310443490701</v>
      </c>
    </row>
    <row r="10" customFormat="false" ht="15" hidden="false" customHeight="true" outlineLevel="0" collapsed="false">
      <c r="A10" s="12" t="s">
        <v>18</v>
      </c>
      <c r="B10" s="12" t="s">
        <v>19</v>
      </c>
      <c r="C10" s="13" t="n">
        <v>22</v>
      </c>
      <c r="D10" s="14" t="n">
        <f aca="false">C10*100/SUM($C$7:$C$13)</f>
        <v>2.29166666666667</v>
      </c>
      <c r="E10" s="14" t="n">
        <f aca="false">C10*100/$B$1</f>
        <v>0.629470672389127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30.8</v>
      </c>
      <c r="G10" s="14" t="n">
        <f aca="false">F10*100/$B$1</f>
        <v>0.881258941344778</v>
      </c>
    </row>
    <row r="11" customFormat="false" ht="27.75" hidden="false" customHeight="true" outlineLevel="0" collapsed="false">
      <c r="A11" s="12" t="s">
        <v>20</v>
      </c>
      <c r="B11" s="12" t="s">
        <v>21</v>
      </c>
      <c r="C11" s="13" t="n">
        <v>49</v>
      </c>
      <c r="D11" s="14" t="n">
        <f aca="false">C11*100/SUM($C$7:$C$13)</f>
        <v>5.10416666666667</v>
      </c>
      <c r="E11" s="14" t="n">
        <f aca="false">C11*100/$B$1</f>
        <v>1.40200286123033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204.166666666667</v>
      </c>
      <c r="G11" s="14" t="n">
        <f aca="false">F11*100/$B$1</f>
        <v>5.84167858845971</v>
      </c>
    </row>
    <row r="12" customFormat="false" ht="27.75" hidden="false" customHeight="true" outlineLevel="0" collapsed="false">
      <c r="A12" s="18" t="s">
        <v>22</v>
      </c>
      <c r="B12" s="18" t="s">
        <v>23</v>
      </c>
      <c r="C12" s="19" t="n">
        <v>295</v>
      </c>
      <c r="D12" s="20" t="n">
        <f aca="false">C12*100/SUM($C$7:$C$13)</f>
        <v>30.7291666666667</v>
      </c>
      <c r="E12" s="20" t="n">
        <f aca="false">C12*100/$B$1</f>
        <v>8.44062947067239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337.142857142857</v>
      </c>
      <c r="G12" s="20" t="n">
        <f aca="false">F12*100/$B$1</f>
        <v>9.64643368076844</v>
      </c>
    </row>
    <row r="13" customFormat="false" ht="15" hidden="false" customHeight="true" outlineLevel="0" collapsed="false">
      <c r="A13" s="12" t="s">
        <v>24</v>
      </c>
      <c r="B13" s="12" t="s">
        <v>23</v>
      </c>
      <c r="C13" s="13" t="n">
        <v>252</v>
      </c>
      <c r="D13" s="14" t="n">
        <f aca="false">C13*100/SUM($C$7:$C$13)</f>
        <v>26.25</v>
      </c>
      <c r="E13" s="14" t="n">
        <f aca="false">C13*100/$B$1</f>
        <v>7.21030042918455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288</v>
      </c>
      <c r="G13" s="14" t="n">
        <f aca="false">F13*100/$B$1</f>
        <v>8.24034334763949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6.29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10525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0.2091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43.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25</v>
      </c>
    </row>
    <row r="7" customFormat="false" ht="27.75" hidden="false" customHeight="true" outlineLevel="0" collapsed="false">
      <c r="A7" s="18" t="s">
        <v>26</v>
      </c>
      <c r="B7" s="18" t="s">
        <v>27</v>
      </c>
      <c r="C7" s="19" t="n">
        <v>1394</v>
      </c>
      <c r="D7" s="20" t="n">
        <f aca="false">C7*100/SUM($C$7:$C$14)</f>
        <v>23.595125253893</v>
      </c>
      <c r="E7" s="20" t="n">
        <f aca="false">C7*100/$B$1</f>
        <v>13.2446555819477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551.116279069767</v>
      </c>
      <c r="G7" s="14" t="n">
        <f aca="false">F7*100/$B$1</f>
        <v>5.23625918356074</v>
      </c>
    </row>
    <row r="8" customFormat="false" ht="15" hidden="false" customHeight="true" outlineLevel="0" collapsed="false">
      <c r="A8" s="18" t="s">
        <v>28</v>
      </c>
      <c r="B8" s="18" t="s">
        <v>27</v>
      </c>
      <c r="C8" s="19" t="n">
        <v>1211</v>
      </c>
      <c r="D8" s="20" t="n">
        <f aca="false">C8*100/SUM($C$7:$C$14)</f>
        <v>20.4976303317536</v>
      </c>
      <c r="E8" s="20" t="n">
        <f aca="false">C8*100/$B$1</f>
        <v>11.5059382422803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478.767441860465</v>
      </c>
      <c r="G8" s="14" t="n">
        <f aca="false">F8*100/$B$1</f>
        <v>4.54885930508755</v>
      </c>
    </row>
    <row r="9" customFormat="false" ht="27.75" hidden="false" customHeight="true" outlineLevel="0" collapsed="false">
      <c r="A9" s="18" t="s">
        <v>29</v>
      </c>
      <c r="B9" s="18" t="s">
        <v>27</v>
      </c>
      <c r="C9" s="19" t="n">
        <v>1136</v>
      </c>
      <c r="D9" s="20" t="n">
        <f aca="false">C9*100/SUM($C$7:$C$14)</f>
        <v>19.2281651997292</v>
      </c>
      <c r="E9" s="20" t="n">
        <f aca="false">C9*100/$B$1</f>
        <v>10.7933491686461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449.116279069767</v>
      </c>
      <c r="G9" s="14" t="n">
        <f aca="false">F9*100/$B$1</f>
        <v>4.26713804341822</v>
      </c>
    </row>
    <row r="10" customFormat="false" ht="27.75" hidden="false" customHeight="true" outlineLevel="0" collapsed="false">
      <c r="A10" s="12" t="s">
        <v>30</v>
      </c>
      <c r="B10" s="12" t="s">
        <v>15</v>
      </c>
      <c r="C10" s="13" t="n">
        <v>552</v>
      </c>
      <c r="D10" s="14" t="n">
        <f aca="false">C10*100/SUM($C$7:$C$14)</f>
        <v>9.34326337169939</v>
      </c>
      <c r="E10" s="14" t="n">
        <f aca="false">C10*100/$B$1</f>
        <v>5.24465558194774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360.923076923077</v>
      </c>
      <c r="G10" s="14" t="n">
        <f aca="false">F10*100/$B$1</f>
        <v>3.42919788050429</v>
      </c>
    </row>
    <row r="11" customFormat="false" ht="15" hidden="false" customHeight="true" outlineLevel="0" collapsed="false">
      <c r="A11" s="12" t="s">
        <v>31</v>
      </c>
      <c r="B11" s="12" t="s">
        <v>15</v>
      </c>
      <c r="C11" s="13" t="n">
        <v>517</v>
      </c>
      <c r="D11" s="14" t="n">
        <f aca="false">C11*100/SUM($C$7:$C$14)</f>
        <v>8.75084631008802</v>
      </c>
      <c r="E11" s="14" t="n">
        <f aca="false">C11*100/$B$1</f>
        <v>4.91211401425178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338.038461538462</v>
      </c>
      <c r="G11" s="14" t="n">
        <f aca="false">F11*100/$B$1</f>
        <v>3.21176685547232</v>
      </c>
    </row>
    <row r="12" customFormat="false" ht="15" hidden="false" customHeight="true" outlineLevel="0" collapsed="false">
      <c r="A12" s="12" t="s">
        <v>32</v>
      </c>
      <c r="B12" s="12" t="s">
        <v>15</v>
      </c>
      <c r="C12" s="13" t="n">
        <v>467</v>
      </c>
      <c r="D12" s="14" t="n">
        <f aca="false">C12*100/SUM($C$7:$C$14)</f>
        <v>7.90453622207177</v>
      </c>
      <c r="E12" s="14" t="n">
        <f aca="false">C12*100/$B$1</f>
        <v>4.43705463182898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305.346153846154</v>
      </c>
      <c r="G12" s="14" t="n">
        <f aca="false">F12*100/$B$1</f>
        <v>2.90115110542664</v>
      </c>
    </row>
    <row r="13" customFormat="false" ht="27.75" hidden="false" customHeight="true" outlineLevel="0" collapsed="false">
      <c r="A13" s="15" t="s">
        <v>33</v>
      </c>
      <c r="B13" s="15" t="s">
        <v>17</v>
      </c>
      <c r="C13" s="16" t="n">
        <v>336</v>
      </c>
      <c r="D13" s="17" t="n">
        <f aca="false">C13*100/SUM($C$7:$C$14)</f>
        <v>5.68720379146919</v>
      </c>
      <c r="E13" s="17" t="n">
        <f aca="false">C13*100/$B$1</f>
        <v>3.19239904988124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798</v>
      </c>
      <c r="G13" s="23" t="n">
        <f aca="false">F13*100/$B$1</f>
        <v>7.58194774346793</v>
      </c>
    </row>
    <row r="14" customFormat="false" ht="15" hidden="false" customHeight="true" outlineLevel="0" collapsed="false">
      <c r="A14" s="12" t="s">
        <v>34</v>
      </c>
      <c r="B14" s="12" t="s">
        <v>19</v>
      </c>
      <c r="C14" s="13" t="n">
        <v>295</v>
      </c>
      <c r="D14" s="14" t="n">
        <f aca="false">C14*100/SUM($C$7:$C$14)</f>
        <v>4.99322951929587</v>
      </c>
      <c r="E14" s="14" t="n">
        <f aca="false">C14*100/$B$1</f>
        <v>2.80285035629454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413</v>
      </c>
      <c r="G14" s="14" t="n">
        <f aca="false">F14*100/$B$1</f>
        <v>3.92399049881235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1" activeCellId="0" sqref="B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6129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0.3092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36</v>
      </c>
      <c r="B7" s="12" t="s">
        <v>13</v>
      </c>
      <c r="C7" s="13" t="n">
        <v>414</v>
      </c>
      <c r="D7" s="14" t="n">
        <f aca="false">C7*100/SUM($C$7:$C$13)</f>
        <v>11.4808652246256</v>
      </c>
      <c r="E7" s="14" t="n">
        <f aca="false">C7*100/$B$1</f>
        <v>6.75477239353891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163.674418604651</v>
      </c>
      <c r="G7" s="14" t="n">
        <f aca="false">F7*100/$B$1</f>
        <v>2.67049141139911</v>
      </c>
    </row>
    <row r="8" customFormat="false" ht="15" hidden="false" customHeight="true" outlineLevel="0" collapsed="false">
      <c r="A8" s="12" t="s">
        <v>37</v>
      </c>
      <c r="B8" s="12" t="s">
        <v>13</v>
      </c>
      <c r="C8" s="13" t="n">
        <v>408</v>
      </c>
      <c r="D8" s="14" t="n">
        <f aca="false">C8*100/SUM($C$7:$C$13)</f>
        <v>11.3144758735441</v>
      </c>
      <c r="E8" s="14" t="n">
        <f aca="false">C8*100/$B$1</f>
        <v>6.65687714145864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161.302325581395</v>
      </c>
      <c r="G8" s="14" t="n">
        <f aca="false">F8*100/$B$1</f>
        <v>2.63178863732086</v>
      </c>
    </row>
    <row r="9" customFormat="false" ht="27.75" hidden="false" customHeight="true" outlineLevel="0" collapsed="false">
      <c r="A9" s="18" t="s">
        <v>38</v>
      </c>
      <c r="B9" s="18" t="s">
        <v>15</v>
      </c>
      <c r="C9" s="19" t="n">
        <v>880</v>
      </c>
      <c r="D9" s="20" t="n">
        <f aca="false">C9*100/SUM($C$7:$C$13)</f>
        <v>24.4037714919578</v>
      </c>
      <c r="E9" s="20" t="n">
        <f aca="false">C9*100/$B$1</f>
        <v>14.3579703051069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575.384615384615</v>
      </c>
      <c r="G9" s="14" t="n">
        <f aca="false">F9*100/$B$1</f>
        <v>9.38790366103141</v>
      </c>
    </row>
    <row r="10" customFormat="false" ht="27.75" hidden="false" customHeight="true" outlineLevel="0" collapsed="false">
      <c r="A10" s="18" t="s">
        <v>39</v>
      </c>
      <c r="B10" s="18" t="s">
        <v>15</v>
      </c>
      <c r="C10" s="19" t="n">
        <v>685</v>
      </c>
      <c r="D10" s="20" t="n">
        <f aca="false">C10*100/SUM($C$7:$C$13)</f>
        <v>18.9961175818081</v>
      </c>
      <c r="E10" s="20" t="n">
        <f aca="false">C10*100/$B$1</f>
        <v>11.176374612498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447.884615384615</v>
      </c>
      <c r="G10" s="14" t="n">
        <f aca="false">F10*100/$B$1</f>
        <v>7.30762955432559</v>
      </c>
    </row>
    <row r="11" customFormat="false" ht="27.75" hidden="false" customHeight="true" outlineLevel="0" collapsed="false">
      <c r="A11" s="15" t="s">
        <v>40</v>
      </c>
      <c r="B11" s="15" t="s">
        <v>17</v>
      </c>
      <c r="C11" s="16" t="n">
        <v>641</v>
      </c>
      <c r="D11" s="17" t="n">
        <f aca="false">C11*100/SUM($C$7:$C$13)</f>
        <v>17.7759290072102</v>
      </c>
      <c r="E11" s="17" t="n">
        <f aca="false">C11*100/$B$1</f>
        <v>10.4584760972426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1522.375</v>
      </c>
      <c r="G11" s="23" t="n">
        <f aca="false">F11*100/$B$1</f>
        <v>24.8388807309512</v>
      </c>
    </row>
    <row r="12" customFormat="false" ht="27.75" hidden="false" customHeight="true" outlineLevel="0" collapsed="false">
      <c r="A12" s="15" t="s">
        <v>41</v>
      </c>
      <c r="B12" s="15" t="s">
        <v>17</v>
      </c>
      <c r="C12" s="16" t="n">
        <v>502</v>
      </c>
      <c r="D12" s="17" t="n">
        <f aca="false">C12*100/SUM($C$7:$C$13)</f>
        <v>13.9212423738214</v>
      </c>
      <c r="E12" s="17" t="n">
        <f aca="false">C12*100/$B$1</f>
        <v>8.1905694240496</v>
      </c>
      <c r="F12" s="22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1192.25</v>
      </c>
      <c r="G12" s="23" t="n">
        <f aca="false">F12*100/$B$1</f>
        <v>19.4526023821178</v>
      </c>
    </row>
    <row r="13" customFormat="false" ht="27.75" hidden="false" customHeight="true" outlineLevel="0" collapsed="false">
      <c r="A13" s="12" t="s">
        <v>42</v>
      </c>
      <c r="B13" s="12" t="s">
        <v>19</v>
      </c>
      <c r="C13" s="13" t="n">
        <v>76</v>
      </c>
      <c r="D13" s="14" t="n">
        <f aca="false">C13*100/SUM($C$7:$C$13)</f>
        <v>2.10759844703272</v>
      </c>
      <c r="E13" s="14" t="n">
        <f aca="false">C13*100/$B$1</f>
        <v>1.24000652635014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106.4</v>
      </c>
      <c r="G13" s="14" t="n">
        <f aca="false">F13*100/$B$1</f>
        <v>1.73600913689019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6" activeCellId="0" sqref="B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3530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0.3088</v>
      </c>
    </row>
    <row r="4" customFormat="false" ht="15" hidden="false" customHeight="true" outlineLevel="0" collapsed="false">
      <c r="A4" s="3" t="s">
        <v>3</v>
      </c>
      <c r="B4" s="6" t="n">
        <v>8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43</v>
      </c>
      <c r="B7" s="12" t="s">
        <v>13</v>
      </c>
      <c r="C7" s="13" t="n">
        <v>212</v>
      </c>
      <c r="D7" s="14" t="n">
        <f aca="false">C7*100/SUM($C$7:$C$10)</f>
        <v>19.5933456561922</v>
      </c>
      <c r="E7" s="14" t="n">
        <f aca="false">C7*100/$B$1</f>
        <v>6.0056657223796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83.8139534883721</v>
      </c>
      <c r="G7" s="14" t="n">
        <f aca="false">F7*100/$B$1</f>
        <v>2.37433296001054</v>
      </c>
    </row>
    <row r="8" customFormat="false" ht="15" hidden="false" customHeight="true" outlineLevel="0" collapsed="false">
      <c r="A8" s="18" t="s">
        <v>44</v>
      </c>
      <c r="B8" s="18" t="s">
        <v>15</v>
      </c>
      <c r="C8" s="19" t="n">
        <v>489</v>
      </c>
      <c r="D8" s="20" t="n">
        <f aca="false">C8*100/SUM($C$7:$C$10)</f>
        <v>45.1940850277264</v>
      </c>
      <c r="E8" s="20" t="n">
        <f aca="false">C8*100/$B$1</f>
        <v>13.8526912181303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319.730769230769</v>
      </c>
      <c r="G8" s="14" t="n">
        <f aca="false">F8*100/$B$1</f>
        <v>9.0575288733929</v>
      </c>
    </row>
    <row r="9" customFormat="false" ht="15" hidden="false" customHeight="true" outlineLevel="0" collapsed="false">
      <c r="A9" s="15" t="s">
        <v>45</v>
      </c>
      <c r="B9" s="15" t="s">
        <v>17</v>
      </c>
      <c r="C9" s="16" t="n">
        <v>37</v>
      </c>
      <c r="D9" s="17" t="n">
        <f aca="false">C9*100/SUM($C$7:$C$10)</f>
        <v>3.41959334565619</v>
      </c>
      <c r="E9" s="17" t="n">
        <f aca="false">C9*100/$B$1</f>
        <v>1.04815864022663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87.875</v>
      </c>
      <c r="G9" s="17" t="n">
        <f aca="false">F9*100/$B$1</f>
        <v>2.48937677053824</v>
      </c>
    </row>
    <row r="10" customFormat="false" ht="15" hidden="false" customHeight="true" outlineLevel="0" collapsed="false">
      <c r="A10" s="12" t="s">
        <v>46</v>
      </c>
      <c r="B10" s="12" t="s">
        <v>19</v>
      </c>
      <c r="C10" s="13" t="n">
        <v>344</v>
      </c>
      <c r="D10" s="14" t="n">
        <f aca="false">C10*100/SUM($C$7:$C$10)</f>
        <v>31.7929759704251</v>
      </c>
      <c r="E10" s="14" t="n">
        <f aca="false">C10*100/$B$1</f>
        <v>9.74504249291785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481.6</v>
      </c>
      <c r="G10" s="20" t="n">
        <f aca="false">F10*100/$B$1</f>
        <v>13.643059490085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6" activeCellId="0" sqref="A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9170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0.3374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47</v>
      </c>
      <c r="B7" s="18" t="s">
        <v>27</v>
      </c>
      <c r="C7" s="19" t="n">
        <v>1726</v>
      </c>
      <c r="D7" s="20" t="n">
        <f aca="false">C7*100/SUM($C$7:$C$14)</f>
        <v>20.0861166065402</v>
      </c>
      <c r="E7" s="20" t="n">
        <f aca="false">C7*100/$B$1</f>
        <v>18.8222464558342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682.372093023256</v>
      </c>
      <c r="G7" s="14" t="n">
        <f aca="false">F7*100/$B$1</f>
        <v>7.44135324998098</v>
      </c>
    </row>
    <row r="8" customFormat="false" ht="15" hidden="false" customHeight="true" outlineLevel="0" collapsed="false">
      <c r="A8" s="18" t="s">
        <v>48</v>
      </c>
      <c r="B8" s="18" t="s">
        <v>27</v>
      </c>
      <c r="C8" s="19" t="n">
        <v>1634</v>
      </c>
      <c r="D8" s="20" t="n">
        <f aca="false">C8*100/SUM($C$7:$C$14)</f>
        <v>19.0154777144187</v>
      </c>
      <c r="E8" s="20" t="n">
        <f aca="false">C8*100/$B$1</f>
        <v>17.8189749182116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646</v>
      </c>
      <c r="G8" s="14" t="n">
        <f aca="false">F8*100/$B$1</f>
        <v>7.04471101417666</v>
      </c>
    </row>
    <row r="9" customFormat="false" ht="15" hidden="false" customHeight="true" outlineLevel="0" collapsed="false">
      <c r="A9" s="18" t="s">
        <v>49</v>
      </c>
      <c r="B9" s="18" t="s">
        <v>27</v>
      </c>
      <c r="C9" s="19" t="n">
        <v>1577</v>
      </c>
      <c r="D9" s="20" t="n">
        <f aca="false">C9*100/SUM($C$7:$C$14)</f>
        <v>18.3521470964739</v>
      </c>
      <c r="E9" s="20" t="n">
        <f aca="false">C9*100/$B$1</f>
        <v>17.1973827699019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623.46511627907</v>
      </c>
      <c r="G9" s="14" t="n">
        <f aca="false">F9*100/$B$1</f>
        <v>6.79896528112399</v>
      </c>
    </row>
    <row r="10" customFormat="false" ht="15" hidden="false" customHeight="true" outlineLevel="0" collapsed="false">
      <c r="A10" s="12" t="s">
        <v>50</v>
      </c>
      <c r="B10" s="12" t="s">
        <v>15</v>
      </c>
      <c r="C10" s="13" t="n">
        <v>1028</v>
      </c>
      <c r="D10" s="14" t="n">
        <f aca="false">C10*100/SUM($C$7:$C$14)</f>
        <v>11.9632258815315</v>
      </c>
      <c r="E10" s="14" t="n">
        <f aca="false">C10*100/$B$1</f>
        <v>11.2104689203926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672.153846153846</v>
      </c>
      <c r="G10" s="14" t="n">
        <f aca="false">F10*100/$B$1</f>
        <v>7.32992198641054</v>
      </c>
    </row>
    <row r="11" customFormat="false" ht="15" hidden="false" customHeight="true" outlineLevel="0" collapsed="false">
      <c r="A11" s="12" t="s">
        <v>51</v>
      </c>
      <c r="B11" s="12" t="s">
        <v>15</v>
      </c>
      <c r="C11" s="13" t="n">
        <v>951</v>
      </c>
      <c r="D11" s="14" t="n">
        <f aca="false">C11*100/SUM($C$7:$C$14)</f>
        <v>11.0671476783428</v>
      </c>
      <c r="E11" s="14" t="n">
        <f aca="false">C11*100/$B$1</f>
        <v>10.370774263904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621.807692307692</v>
      </c>
      <c r="G11" s="14" t="n">
        <f aca="false">F11*100/$B$1</f>
        <v>6.78089086486033</v>
      </c>
    </row>
    <row r="12" customFormat="false" ht="15" hidden="false" customHeight="true" outlineLevel="0" collapsed="false">
      <c r="A12" s="12" t="s">
        <v>52</v>
      </c>
      <c r="B12" s="12" t="s">
        <v>15</v>
      </c>
      <c r="C12" s="13" t="n">
        <v>901</v>
      </c>
      <c r="D12" s="14" t="n">
        <f aca="false">C12*100/SUM($C$7:$C$14)</f>
        <v>10.4852787152333</v>
      </c>
      <c r="E12" s="14" t="n">
        <f aca="false">C12*100/$B$1</f>
        <v>9.82551799345693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589.115384615385</v>
      </c>
      <c r="G12" s="14" t="n">
        <f aca="false">F12*100/$B$1</f>
        <v>6.42437714956799</v>
      </c>
    </row>
    <row r="13" customFormat="false" ht="15" hidden="false" customHeight="true" outlineLevel="0" collapsed="false">
      <c r="A13" s="15" t="s">
        <v>53</v>
      </c>
      <c r="B13" s="15" t="s">
        <v>17</v>
      </c>
      <c r="C13" s="16" t="n">
        <v>527</v>
      </c>
      <c r="D13" s="17" t="n">
        <f aca="false">C13*100/SUM($C$7:$C$14)</f>
        <v>6.13289887117421</v>
      </c>
      <c r="E13" s="17" t="n">
        <f aca="false">C13*100/$B$1</f>
        <v>5.74700109051254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1251.625</v>
      </c>
      <c r="G13" s="23" t="n">
        <f aca="false">F13*100/$B$1</f>
        <v>13.6491275899673</v>
      </c>
    </row>
    <row r="14" customFormat="false" ht="15" hidden="false" customHeight="true" outlineLevel="0" collapsed="false">
      <c r="A14" s="12" t="s">
        <v>54</v>
      </c>
      <c r="B14" s="12" t="s">
        <v>19</v>
      </c>
      <c r="C14" s="13" t="n">
        <v>249</v>
      </c>
      <c r="D14" s="14" t="n">
        <f aca="false">C14*100/SUM($C$7:$C$14)</f>
        <v>2.89770743628535</v>
      </c>
      <c r="E14" s="14" t="n">
        <f aca="false">C14*100/$B$1</f>
        <v>2.71537622682661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348.6</v>
      </c>
      <c r="G14" s="14" t="n">
        <f aca="false">F14*100/$B$1</f>
        <v>3.80152671755725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10237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0.2175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55</v>
      </c>
      <c r="B7" s="18" t="s">
        <v>27</v>
      </c>
      <c r="C7" s="19" t="n">
        <v>1419</v>
      </c>
      <c r="D7" s="20" t="n">
        <f aca="false">C7*100/SUM($C$7:$C$14)</f>
        <v>23.3158067696352</v>
      </c>
      <c r="E7" s="20" t="n">
        <f aca="false">C7*100/$B$1</f>
        <v>13.8614828563056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561</v>
      </c>
      <c r="G7" s="14" t="n">
        <f aca="false">F7*100/$B$1</f>
        <v>5.48012112923708</v>
      </c>
    </row>
    <row r="8" customFormat="false" ht="15" hidden="false" customHeight="true" outlineLevel="0" collapsed="false">
      <c r="A8" s="18" t="s">
        <v>56</v>
      </c>
      <c r="B8" s="18" t="s">
        <v>27</v>
      </c>
      <c r="C8" s="19" t="n">
        <v>1355</v>
      </c>
      <c r="D8" s="20" t="n">
        <f aca="false">C8*100/SUM($C$7:$C$14)</f>
        <v>22.2642129477489</v>
      </c>
      <c r="E8" s="20" t="n">
        <f aca="false">C8*100/$B$1</f>
        <v>13.2362996971769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535.697674418605</v>
      </c>
      <c r="G8" s="14" t="n">
        <f aca="false">F8*100/$B$1</f>
        <v>5.23295569423273</v>
      </c>
    </row>
    <row r="9" customFormat="false" ht="15" hidden="false" customHeight="true" outlineLevel="0" collapsed="false">
      <c r="A9" s="18" t="s">
        <v>57</v>
      </c>
      <c r="B9" s="18" t="s">
        <v>27</v>
      </c>
      <c r="C9" s="19" t="n">
        <v>1339</v>
      </c>
      <c r="D9" s="20" t="n">
        <f aca="false">C9*100/SUM($C$7:$C$14)</f>
        <v>22.0013144922774</v>
      </c>
      <c r="E9" s="20" t="n">
        <f aca="false">C9*100/$B$1</f>
        <v>13.0800039073947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529.372093023256</v>
      </c>
      <c r="G9" s="14" t="n">
        <f aca="false">F9*100/$B$1</f>
        <v>5.17116433548164</v>
      </c>
    </row>
    <row r="10" customFormat="false" ht="15" hidden="false" customHeight="true" outlineLevel="0" collapsed="false">
      <c r="A10" s="12" t="s">
        <v>58</v>
      </c>
      <c r="B10" s="12" t="s">
        <v>59</v>
      </c>
      <c r="C10" s="13" t="n">
        <v>530</v>
      </c>
      <c r="D10" s="14" t="n">
        <f aca="false">C10*100/SUM($C$7:$C$14)</f>
        <v>8.70851133749589</v>
      </c>
      <c r="E10" s="14" t="n">
        <f aca="false">C10*100/$B$1</f>
        <v>5.17729803653414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346.538461538462</v>
      </c>
      <c r="G10" s="14" t="n">
        <f aca="false">F10*100/$B$1</f>
        <v>3.38515640850309</v>
      </c>
    </row>
    <row r="11" customFormat="false" ht="15" hidden="false" customHeight="true" outlineLevel="0" collapsed="false">
      <c r="A11" s="12" t="s">
        <v>60</v>
      </c>
      <c r="B11" s="12" t="s">
        <v>59</v>
      </c>
      <c r="C11" s="13" t="n">
        <v>439</v>
      </c>
      <c r="D11" s="14" t="n">
        <f aca="false">C11*100/SUM($C$7:$C$14)</f>
        <v>7.21327637200132</v>
      </c>
      <c r="E11" s="14" t="n">
        <f aca="false">C11*100/$B$1</f>
        <v>4.28836573214809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287.038461538462</v>
      </c>
      <c r="G11" s="14" t="n">
        <f aca="false">F11*100/$B$1</f>
        <v>2.80393144025067</v>
      </c>
    </row>
    <row r="12" customFormat="false" ht="15" hidden="false" customHeight="true" outlineLevel="0" collapsed="false">
      <c r="A12" s="12" t="s">
        <v>61</v>
      </c>
      <c r="B12" s="12" t="s">
        <v>59</v>
      </c>
      <c r="C12" s="13" t="n">
        <v>410</v>
      </c>
      <c r="D12" s="14" t="n">
        <f aca="false">C12*100/SUM($C$7:$C$14)</f>
        <v>6.73677292145909</v>
      </c>
      <c r="E12" s="14" t="n">
        <f aca="false">C12*100/$B$1</f>
        <v>4.00507961316792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268.076923076923</v>
      </c>
      <c r="G12" s="14" t="n">
        <f aca="false">F12*100/$B$1</f>
        <v>2.61870590091749</v>
      </c>
    </row>
    <row r="13" customFormat="false" ht="15" hidden="false" customHeight="true" outlineLevel="0" collapsed="false">
      <c r="A13" s="15" t="s">
        <v>62</v>
      </c>
      <c r="B13" s="15" t="s">
        <v>17</v>
      </c>
      <c r="C13" s="16" t="n">
        <v>340</v>
      </c>
      <c r="D13" s="17" t="n">
        <f aca="false">C13*100/SUM($C$7:$C$14)</f>
        <v>5.58659217877095</v>
      </c>
      <c r="E13" s="17" t="n">
        <f aca="false">C13*100/$B$1</f>
        <v>3.32128553287096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807.5</v>
      </c>
      <c r="G13" s="23" t="n">
        <f aca="false">F13*100/$B$1</f>
        <v>7.88805314056853</v>
      </c>
    </row>
    <row r="14" customFormat="false" ht="15" hidden="false" customHeight="true" outlineLevel="0" collapsed="false">
      <c r="A14" s="12" t="s">
        <v>63</v>
      </c>
      <c r="B14" s="12" t="s">
        <v>19</v>
      </c>
      <c r="C14" s="13" t="n">
        <v>254</v>
      </c>
      <c r="D14" s="14" t="n">
        <f aca="false">C14*100/SUM($C$7:$C$14)</f>
        <v>4.17351298061124</v>
      </c>
      <c r="E14" s="14" t="n">
        <f aca="false">C14*100/$B$1</f>
        <v>2.48119566279183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355.6</v>
      </c>
      <c r="G14" s="14" t="n">
        <f aca="false">F14*100/$B$1</f>
        <v>3.47367392790857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AI4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11085</v>
      </c>
      <c r="AF1" s="24"/>
      <c r="AG1" s="24"/>
      <c r="AH1" s="24"/>
      <c r="AI1" s="24"/>
    </row>
    <row r="2" customFormat="false" ht="30" hidden="false" customHeight="true" outlineLevel="0" collapsed="false">
      <c r="A2" s="3" t="s">
        <v>1</v>
      </c>
      <c r="B2" s="4" t="n">
        <v>3</v>
      </c>
      <c r="C2" s="4"/>
      <c r="AF2" s="24"/>
      <c r="AG2" s="24"/>
      <c r="AH2" s="24"/>
      <c r="AI2" s="24"/>
    </row>
    <row r="3" s="21" customFormat="true" ht="15" hidden="false" customHeight="true" outlineLevel="0" collapsed="false">
      <c r="A3" s="3" t="s">
        <v>2</v>
      </c>
      <c r="B3" s="5" t="n">
        <v>0.2235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24"/>
      <c r="AG3" s="24"/>
      <c r="AH3" s="24"/>
      <c r="AI3" s="24"/>
    </row>
    <row r="4" customFormat="false" ht="15" hidden="false" customHeight="true" outlineLevel="0" collapsed="false">
      <c r="A4" s="3" t="s">
        <v>3</v>
      </c>
      <c r="B4" s="6" t="n">
        <v>63</v>
      </c>
      <c r="AF4" s="24"/>
      <c r="AG4" s="24"/>
      <c r="AH4" s="24"/>
      <c r="AI4" s="24"/>
    </row>
    <row r="5" customFormat="false" ht="13.8" hidden="false" customHeight="false" outlineLevel="0" collapsed="false">
      <c r="F5" s="9" t="s">
        <v>35</v>
      </c>
      <c r="G5" s="9"/>
      <c r="AF5" s="24"/>
      <c r="AG5" s="24"/>
      <c r="AH5" s="24"/>
      <c r="AI5" s="24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  <c r="AF6" s="24"/>
      <c r="AG6" s="24"/>
      <c r="AH6" s="24"/>
      <c r="AI6" s="24"/>
    </row>
    <row r="7" customFormat="false" ht="27.75" hidden="false" customHeight="true" outlineLevel="0" collapsed="false">
      <c r="A7" s="18" t="s">
        <v>64</v>
      </c>
      <c r="B7" s="18" t="s">
        <v>27</v>
      </c>
      <c r="C7" s="19" t="n">
        <v>1617</v>
      </c>
      <c r="D7" s="20" t="n">
        <f aca="false">C7*100/SUM($C$7:$C$14)</f>
        <v>24.181247196052</v>
      </c>
      <c r="E7" s="20" t="n">
        <f aca="false">C7*100/$B$1</f>
        <v>14.5872801082544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639.279069767442</v>
      </c>
      <c r="G7" s="14" t="n">
        <f aca="false">F7*100/$B$1</f>
        <v>5.76706422884476</v>
      </c>
      <c r="AF7" s="24"/>
      <c r="AG7" s="24"/>
      <c r="AH7" s="24"/>
      <c r="AI7" s="24"/>
    </row>
    <row r="8" customFormat="false" ht="15" hidden="false" customHeight="true" outlineLevel="0" collapsed="false">
      <c r="A8" s="18" t="s">
        <v>65</v>
      </c>
      <c r="B8" s="18" t="s">
        <v>27</v>
      </c>
      <c r="C8" s="19" t="n">
        <v>1531</v>
      </c>
      <c r="D8" s="20" t="n">
        <f aca="false">C8*100/SUM($C$7:$C$14)</f>
        <v>22.8951697323164</v>
      </c>
      <c r="E8" s="20" t="n">
        <f aca="false">C8*100/$B$1</f>
        <v>13.8114569237709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605.279069767442</v>
      </c>
      <c r="G8" s="14" t="n">
        <f aca="false">F8*100/$B$1</f>
        <v>5.46034343497918</v>
      </c>
      <c r="AF8" s="24"/>
      <c r="AG8" s="24"/>
      <c r="AH8" s="24"/>
      <c r="AI8" s="24"/>
    </row>
    <row r="9" customFormat="false" ht="15" hidden="false" customHeight="true" outlineLevel="0" collapsed="false">
      <c r="A9" s="18" t="s">
        <v>66</v>
      </c>
      <c r="B9" s="18" t="s">
        <v>27</v>
      </c>
      <c r="C9" s="19" t="n">
        <v>1491</v>
      </c>
      <c r="D9" s="20" t="n">
        <f aca="false">C9*100/SUM($C$7:$C$14)</f>
        <v>22.2969941677882</v>
      </c>
      <c r="E9" s="20" t="n">
        <f aca="false">C9*100/$B$1</f>
        <v>13.4506089309878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589.46511627907</v>
      </c>
      <c r="G9" s="14" t="n">
        <f aca="false">F9*100/$B$1</f>
        <v>5.31768260062309</v>
      </c>
      <c r="AF9" s="24"/>
      <c r="AG9" s="24"/>
      <c r="AH9" s="24"/>
      <c r="AI9" s="24"/>
    </row>
    <row r="10" customFormat="false" ht="15" hidden="false" customHeight="true" outlineLevel="0" collapsed="false">
      <c r="A10" s="12" t="s">
        <v>67</v>
      </c>
      <c r="B10" s="12" t="s">
        <v>59</v>
      </c>
      <c r="C10" s="13" t="n">
        <v>509</v>
      </c>
      <c r="D10" s="14" t="n">
        <f aca="false">C10*100/SUM($C$7:$C$14)</f>
        <v>7.61178405862121</v>
      </c>
      <c r="E10" s="14" t="n">
        <f aca="false">C10*100/$B$1</f>
        <v>4.59179070816419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332.807692307692</v>
      </c>
      <c r="G10" s="14" t="n">
        <f aca="false">F10*100/$B$1</f>
        <v>3.00232469379966</v>
      </c>
      <c r="AF10" s="24"/>
      <c r="AG10" s="24"/>
      <c r="AH10" s="24"/>
      <c r="AI10" s="24"/>
    </row>
    <row r="11" customFormat="false" ht="27.75" hidden="false" customHeight="true" outlineLevel="0" collapsed="false">
      <c r="A11" s="12" t="s">
        <v>68</v>
      </c>
      <c r="B11" s="12" t="s">
        <v>59</v>
      </c>
      <c r="C11" s="13" t="n">
        <v>471</v>
      </c>
      <c r="D11" s="14" t="n">
        <f aca="false">C11*100/SUM($C$7:$C$14)</f>
        <v>7.04351727231943</v>
      </c>
      <c r="E11" s="14" t="n">
        <f aca="false">C11*100/$B$1</f>
        <v>4.2489851150203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307.961538461538</v>
      </c>
      <c r="G11" s="14" t="n">
        <f aca="false">F11*100/$B$1</f>
        <v>2.77818257520558</v>
      </c>
      <c r="AF11" s="24"/>
      <c r="AG11" s="24"/>
      <c r="AH11" s="24"/>
      <c r="AI11" s="24"/>
    </row>
    <row r="12" customFormat="false" ht="15" hidden="false" customHeight="true" outlineLevel="0" collapsed="false">
      <c r="A12" s="12" t="s">
        <v>69</v>
      </c>
      <c r="B12" s="12" t="s">
        <v>59</v>
      </c>
      <c r="C12" s="13" t="n">
        <v>373</v>
      </c>
      <c r="D12" s="14" t="n">
        <f aca="false">C12*100/SUM($C$7:$C$14)</f>
        <v>5.57798713922536</v>
      </c>
      <c r="E12" s="14" t="n">
        <f aca="false">C12*100/$B$1</f>
        <v>3.36490753270185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243.884615384615</v>
      </c>
      <c r="G12" s="14" t="n">
        <f aca="false">F12*100/$B$1</f>
        <v>2.20013184830506</v>
      </c>
      <c r="AF12" s="24"/>
      <c r="AG12" s="24"/>
      <c r="AH12" s="24"/>
      <c r="AI12" s="24"/>
    </row>
    <row r="13" customFormat="false" ht="15" hidden="false" customHeight="true" outlineLevel="0" collapsed="false">
      <c r="A13" s="15" t="s">
        <v>70</v>
      </c>
      <c r="B13" s="15" t="s">
        <v>17</v>
      </c>
      <c r="C13" s="16" t="n">
        <v>373</v>
      </c>
      <c r="D13" s="17" t="n">
        <f aca="false">C13*100/SUM($C$7:$C$14)</f>
        <v>5.57798713922536</v>
      </c>
      <c r="E13" s="17" t="n">
        <f aca="false">C13*100/$B$1</f>
        <v>3.36490753270185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885.875</v>
      </c>
      <c r="G13" s="23" t="n">
        <f aca="false">F13*100/$B$1</f>
        <v>7.99165539016689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4"/>
      <c r="AG13" s="24"/>
      <c r="AH13" s="24"/>
      <c r="AI13" s="24"/>
    </row>
    <row r="14" customFormat="false" ht="15" hidden="false" customHeight="true" outlineLevel="0" collapsed="false">
      <c r="A14" s="12" t="s">
        <v>71</v>
      </c>
      <c r="B14" s="12" t="s">
        <v>19</v>
      </c>
      <c r="C14" s="13" t="n">
        <v>322</v>
      </c>
      <c r="D14" s="14" t="n">
        <f aca="false">C14*100/SUM($C$7:$C$14)</f>
        <v>4.81531329445192</v>
      </c>
      <c r="E14" s="14" t="n">
        <f aca="false">C14*100/$B$1</f>
        <v>2.90482634190347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450.8</v>
      </c>
      <c r="G14" s="14" t="n">
        <f aca="false">F14*100/$B$1</f>
        <v>4.06675687866486</v>
      </c>
      <c r="AF14" s="24"/>
      <c r="AG14" s="24"/>
      <c r="AH14" s="24"/>
      <c r="AI14" s="24"/>
    </row>
    <row r="15" customFormat="false" ht="12.75" hidden="false" customHeight="false" outlineLevel="0" collapsed="false">
      <c r="AF15" s="24"/>
      <c r="AG15" s="24"/>
      <c r="AH15" s="24"/>
      <c r="AI15" s="24"/>
    </row>
    <row r="16" customFormat="false" ht="12.75" hidden="false" customHeight="false" outlineLevel="0" collapsed="false">
      <c r="AF16" s="24"/>
      <c r="AG16" s="24"/>
      <c r="AH16" s="24"/>
      <c r="AI16" s="24"/>
    </row>
    <row r="17" customFormat="false" ht="12.75" hidden="false" customHeight="false" outlineLevel="0" collapsed="false">
      <c r="AF17" s="24"/>
      <c r="AG17" s="24"/>
      <c r="AH17" s="24"/>
      <c r="AI17" s="24"/>
    </row>
    <row r="18" customFormat="false" ht="12.75" hidden="false" customHeight="false" outlineLevel="0" collapsed="false">
      <c r="AF18" s="24"/>
      <c r="AG18" s="24"/>
      <c r="AH18" s="24"/>
      <c r="AI18" s="24"/>
    </row>
    <row r="19" customFormat="false" ht="12.75" hidden="false" customHeight="false" outlineLevel="0" collapsed="false">
      <c r="AF19" s="24"/>
      <c r="AG19" s="24"/>
      <c r="AH19" s="24"/>
      <c r="AI19" s="24"/>
    </row>
    <row r="20" customFormat="false" ht="12.75" hidden="false" customHeight="false" outlineLevel="0" collapsed="false">
      <c r="AF20" s="24"/>
      <c r="AG20" s="24"/>
      <c r="AH20" s="24"/>
      <c r="AI20" s="24"/>
    </row>
    <row r="21" customFormat="false" ht="12.75" hidden="false" customHeight="false" outlineLevel="0" collapsed="false">
      <c r="AF21" s="24"/>
      <c r="AG21" s="24"/>
      <c r="AH21" s="24"/>
      <c r="AI21" s="24"/>
    </row>
    <row r="22" customFormat="false" ht="12.75" hidden="false" customHeight="false" outlineLevel="0" collapsed="false">
      <c r="AF22" s="24"/>
      <c r="AG22" s="24"/>
      <c r="AH22" s="24"/>
      <c r="AI22" s="24"/>
    </row>
    <row r="23" customFormat="false" ht="12.75" hidden="false" customHeight="false" outlineLevel="0" collapsed="false">
      <c r="AF23" s="24"/>
      <c r="AG23" s="24"/>
      <c r="AH23" s="24"/>
      <c r="AI23" s="24"/>
    </row>
    <row r="24" customFormat="false" ht="12.75" hidden="false" customHeight="false" outlineLevel="0" collapsed="false">
      <c r="AF24" s="24"/>
      <c r="AG24" s="24"/>
      <c r="AH24" s="24"/>
      <c r="AI24" s="24"/>
    </row>
    <row r="25" customFormat="false" ht="12.75" hidden="false" customHeight="false" outlineLevel="0" collapsed="false">
      <c r="AF25" s="24"/>
      <c r="AG25" s="24"/>
      <c r="AH25" s="24"/>
      <c r="AI25" s="24"/>
    </row>
    <row r="26" customFormat="false" ht="12.75" hidden="false" customHeight="false" outlineLevel="0" collapsed="false">
      <c r="AF26" s="24"/>
      <c r="AG26" s="24"/>
      <c r="AH26" s="24"/>
      <c r="AI26" s="24"/>
    </row>
    <row r="27" customFormat="false" ht="12.75" hidden="false" customHeight="false" outlineLevel="0" collapsed="false">
      <c r="AF27" s="24"/>
      <c r="AG27" s="24"/>
      <c r="AH27" s="24"/>
      <c r="AI27" s="24"/>
    </row>
    <row r="28" customFormat="false" ht="12.75" hidden="false" customHeight="false" outlineLevel="0" collapsed="false">
      <c r="AF28" s="24"/>
      <c r="AG28" s="24"/>
      <c r="AH28" s="24"/>
      <c r="AI28" s="24"/>
    </row>
    <row r="29" customFormat="false" ht="12.75" hidden="false" customHeight="false" outlineLevel="0" collapsed="false">
      <c r="AF29" s="24"/>
      <c r="AG29" s="24"/>
      <c r="AH29" s="24"/>
      <c r="AI29" s="24"/>
    </row>
    <row r="30" customFormat="false" ht="12.75" hidden="false" customHeight="false" outlineLevel="0" collapsed="false">
      <c r="AF30" s="24"/>
      <c r="AG30" s="24"/>
      <c r="AH30" s="24"/>
      <c r="AI30" s="24"/>
    </row>
    <row r="31" customFormat="false" ht="12.75" hidden="false" customHeight="false" outlineLevel="0" collapsed="false">
      <c r="AF31" s="24"/>
      <c r="AG31" s="24"/>
      <c r="AH31" s="24"/>
      <c r="AI31" s="24"/>
    </row>
    <row r="32" customFormat="false" ht="12.75" hidden="false" customHeight="false" outlineLevel="0" collapsed="false">
      <c r="AF32" s="24"/>
      <c r="AG32" s="24"/>
      <c r="AH32" s="24"/>
      <c r="AI32" s="24"/>
    </row>
    <row r="33" customFormat="false" ht="12.75" hidden="false" customHeight="false" outlineLevel="0" collapsed="false">
      <c r="AF33" s="24"/>
      <c r="AG33" s="24"/>
      <c r="AH33" s="24"/>
      <c r="AI33" s="24"/>
    </row>
    <row r="34" customFormat="false" ht="12.75" hidden="false" customHeight="false" outlineLevel="0" collapsed="false">
      <c r="AF34" s="24"/>
      <c r="AG34" s="24"/>
      <c r="AH34" s="24"/>
      <c r="AI34" s="24"/>
    </row>
    <row r="35" customFormat="false" ht="12.75" hidden="false" customHeight="false" outlineLevel="0" collapsed="false">
      <c r="AF35" s="24"/>
      <c r="AG35" s="24"/>
      <c r="AH35" s="24"/>
      <c r="AI35" s="24"/>
    </row>
    <row r="36" customFormat="false" ht="12.75" hidden="false" customHeight="false" outlineLevel="0" collapsed="false">
      <c r="AF36" s="24"/>
      <c r="AG36" s="24"/>
      <c r="AH36" s="24"/>
      <c r="AI36" s="24"/>
    </row>
    <row r="37" customFormat="false" ht="12.75" hidden="false" customHeight="false" outlineLevel="0" collapsed="false">
      <c r="AF37" s="24"/>
      <c r="AG37" s="24"/>
      <c r="AH37" s="24"/>
      <c r="AI37" s="24"/>
    </row>
    <row r="38" customFormat="false" ht="12.75" hidden="false" customHeight="false" outlineLevel="0" collapsed="false">
      <c r="AF38" s="24"/>
      <c r="AG38" s="24"/>
      <c r="AH38" s="24"/>
      <c r="AI38" s="24"/>
    </row>
    <row r="39" customFormat="false" ht="12.75" hidden="false" customHeight="false" outlineLevel="0" collapsed="false">
      <c r="AF39" s="24"/>
      <c r="AG39" s="24"/>
      <c r="AH39" s="24"/>
      <c r="AI39" s="24"/>
    </row>
    <row r="40" customFormat="false" ht="12.75" hidden="false" customHeight="false" outlineLevel="0" collapsed="false">
      <c r="AF40" s="24"/>
      <c r="AG40" s="24"/>
      <c r="AH40" s="24"/>
      <c r="AI40" s="24"/>
    </row>
    <row r="41" customFormat="false" ht="12.75" hidden="false" customHeight="false" outlineLevel="0" collapsed="false">
      <c r="AF41" s="24"/>
      <c r="AG41" s="24"/>
      <c r="AH41" s="24"/>
      <c r="AI41" s="24"/>
    </row>
    <row r="42" customFormat="false" ht="12.75" hidden="false" customHeight="false" outlineLevel="0" collapsed="false">
      <c r="AF42" s="24"/>
      <c r="AG42" s="24"/>
      <c r="AH42" s="24"/>
      <c r="AI42" s="24"/>
    </row>
    <row r="43" customFormat="false" ht="12.75" hidden="false" customHeight="false" outlineLevel="0" collapsed="false">
      <c r="AF43" s="24"/>
      <c r="AG43" s="24"/>
      <c r="AH43" s="24"/>
      <c r="AI43" s="24"/>
    </row>
    <row r="44" customFormat="false" ht="12.75" hidden="false" customHeight="false" outlineLevel="0" collapsed="false">
      <c r="AF44" s="24"/>
      <c r="AG44" s="24"/>
      <c r="AH44" s="24"/>
      <c r="AI44" s="24"/>
    </row>
    <row r="45" customFormat="false" ht="12.75" hidden="false" customHeight="false" outlineLevel="0" collapsed="false">
      <c r="AF45" s="24"/>
      <c r="AG45" s="24"/>
      <c r="AH45" s="24"/>
      <c r="AI45" s="24"/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7463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0.3511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72</v>
      </c>
      <c r="B7" s="12" t="s">
        <v>13</v>
      </c>
      <c r="C7" s="13" t="n">
        <v>603</v>
      </c>
      <c r="D7" s="14" t="n">
        <f aca="false">C7*100/SUM($C$7:$C$14)</f>
        <v>12.191670036393</v>
      </c>
      <c r="E7" s="14" t="n">
        <f aca="false">C7*100/$B$1</f>
        <v>8.07986064585287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238.395348837209</v>
      </c>
      <c r="G7" s="14" t="n">
        <f aca="false">F7*100/$B$1</f>
        <v>3.19436351115114</v>
      </c>
    </row>
    <row r="8" customFormat="false" ht="15" hidden="false" customHeight="true" outlineLevel="0" collapsed="false">
      <c r="A8" s="12" t="s">
        <v>73</v>
      </c>
      <c r="B8" s="12" t="s">
        <v>13</v>
      </c>
      <c r="C8" s="13" t="n">
        <v>450</v>
      </c>
      <c r="D8" s="14" t="n">
        <f aca="false">C8*100/SUM($C$7:$C$14)</f>
        <v>9.09826122118884</v>
      </c>
      <c r="E8" s="14" t="n">
        <f aca="false">C8*100/$B$1</f>
        <v>6.02974675063647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177.906976744186</v>
      </c>
      <c r="G8" s="14" t="n">
        <f aca="false">F8*100/$B$1</f>
        <v>2.3838533665307</v>
      </c>
    </row>
    <row r="9" customFormat="false" ht="27.75" hidden="false" customHeight="true" outlineLevel="0" collapsed="false">
      <c r="A9" s="18" t="s">
        <v>74</v>
      </c>
      <c r="B9" s="18" t="s">
        <v>59</v>
      </c>
      <c r="C9" s="19" t="n">
        <v>1709</v>
      </c>
      <c r="D9" s="20" t="n">
        <f aca="false">C9*100/SUM($C$7:$C$14)</f>
        <v>34.5531742822483</v>
      </c>
      <c r="E9" s="20" t="n">
        <f aca="false">C9*100/$B$1</f>
        <v>22.899638215195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1117.42307692308</v>
      </c>
      <c r="G9" s="20" t="n">
        <f aca="false">F9*100/$B$1</f>
        <v>14.9728403714736</v>
      </c>
    </row>
    <row r="10" customFormat="false" ht="15" hidden="false" customHeight="true" outlineLevel="0" collapsed="false">
      <c r="A10" s="18" t="s">
        <v>75</v>
      </c>
      <c r="B10" s="18" t="s">
        <v>59</v>
      </c>
      <c r="C10" s="19" t="n">
        <v>1617</v>
      </c>
      <c r="D10" s="20" t="n">
        <f aca="false">C10*100/SUM($C$7:$C$14)</f>
        <v>32.6930853214719</v>
      </c>
      <c r="E10" s="20" t="n">
        <f aca="false">C10*100/$B$1</f>
        <v>21.6668899906204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1057.26923076923</v>
      </c>
      <c r="G10" s="20" t="n">
        <f aca="false">F10*100/$B$1</f>
        <v>14.1668126861749</v>
      </c>
    </row>
    <row r="11" customFormat="false" ht="15" hidden="false" customHeight="true" outlineLevel="0" collapsed="false">
      <c r="A11" s="15" t="s">
        <v>76</v>
      </c>
      <c r="B11" s="15" t="s">
        <v>17</v>
      </c>
      <c r="C11" s="16" t="n">
        <v>237</v>
      </c>
      <c r="D11" s="17" t="n">
        <f aca="false">C11*100/SUM($C$7:$C$14)</f>
        <v>4.79175090982612</v>
      </c>
      <c r="E11" s="17" t="n">
        <f aca="false">C11*100/$B$1</f>
        <v>3.17566662200188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562.875</v>
      </c>
      <c r="G11" s="17" t="n">
        <f aca="false">F11*100/$B$1</f>
        <v>7.54220822725446</v>
      </c>
    </row>
    <row r="12" customFormat="false" ht="27.75" hidden="false" customHeight="true" outlineLevel="0" collapsed="false">
      <c r="A12" s="12" t="s">
        <v>77</v>
      </c>
      <c r="B12" s="12" t="s">
        <v>19</v>
      </c>
      <c r="C12" s="13" t="n">
        <v>222</v>
      </c>
      <c r="D12" s="14" t="n">
        <f aca="false">C12*100/SUM($C$7:$C$14)</f>
        <v>4.48847553578649</v>
      </c>
      <c r="E12" s="14" t="n">
        <f aca="false">C12*100/$B$1</f>
        <v>2.97467506364733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310.8</v>
      </c>
      <c r="G12" s="14" t="n">
        <f aca="false">F12*100/$B$1</f>
        <v>4.16454508910626</v>
      </c>
    </row>
    <row r="13" customFormat="false" ht="15" hidden="false" customHeight="true" outlineLevel="0" collapsed="false">
      <c r="A13" s="12" t="s">
        <v>78</v>
      </c>
      <c r="B13" s="12" t="s">
        <v>79</v>
      </c>
      <c r="C13" s="13" t="n">
        <v>58</v>
      </c>
      <c r="D13" s="14" t="n">
        <f aca="false">C13*100/SUM($C$7:$C$14)</f>
        <v>1.17266477961989</v>
      </c>
      <c r="E13" s="14" t="n">
        <f aca="false">C13*100/$B$1</f>
        <v>0.777167358970923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66.2857142857143</v>
      </c>
      <c r="G13" s="14" t="n">
        <f aca="false">F13*100/$B$1</f>
        <v>0.888191267395341</v>
      </c>
    </row>
    <row r="14" customFormat="false" ht="15" hidden="false" customHeight="true" outlineLevel="0" collapsed="false">
      <c r="A14" s="12" t="s">
        <v>80</v>
      </c>
      <c r="B14" s="12" t="s">
        <v>81</v>
      </c>
      <c r="C14" s="13" t="n">
        <v>50</v>
      </c>
      <c r="D14" s="14" t="n">
        <f aca="false">C14*100/SUM($C$7:$C$14)</f>
        <v>1.01091791346543</v>
      </c>
      <c r="E14" s="14" t="n">
        <f aca="false">C14*100/$B$1</f>
        <v>0.66997186118183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57.1428571428571</v>
      </c>
      <c r="G14" s="14" t="n">
        <f aca="false">F14*100/$B$1</f>
        <v>0.765682127064949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" activeCellId="0" sqref="B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10049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0.3333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82</v>
      </c>
      <c r="B7" s="12" t="s">
        <v>13</v>
      </c>
      <c r="C7" s="13" t="n">
        <v>358</v>
      </c>
      <c r="D7" s="14" t="n">
        <f aca="false">C7*100/SUM($C$7:$C$18)</f>
        <v>3.7831554475325</v>
      </c>
      <c r="E7" s="14" t="n">
        <f aca="false">C7*100/$B$1</f>
        <v>3.56254353667032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141.53488372093</v>
      </c>
      <c r="G7" s="14" t="n">
        <f aca="false">F7*100/$B$1</f>
        <v>1.40844744473012</v>
      </c>
    </row>
    <row r="8" customFormat="false" ht="15" hidden="false" customHeight="true" outlineLevel="0" collapsed="false">
      <c r="A8" s="12" t="s">
        <v>83</v>
      </c>
      <c r="B8" s="12" t="s">
        <v>13</v>
      </c>
      <c r="C8" s="13" t="n">
        <v>336</v>
      </c>
      <c r="D8" s="14" t="n">
        <f aca="false">C8*100/SUM($C$7:$C$18)</f>
        <v>3.55067103455564</v>
      </c>
      <c r="E8" s="14" t="n">
        <f aca="false">C8*100/$B$1</f>
        <v>3.34361628022689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132.837209302326</v>
      </c>
      <c r="G8" s="14" t="n">
        <f aca="false">F8*100/$B$1</f>
        <v>1.32189480846179</v>
      </c>
    </row>
    <row r="9" customFormat="false" ht="15" hidden="false" customHeight="true" outlineLevel="0" collapsed="false">
      <c r="A9" s="12" t="s">
        <v>84</v>
      </c>
      <c r="B9" s="12" t="s">
        <v>13</v>
      </c>
      <c r="C9" s="13" t="n">
        <v>286</v>
      </c>
      <c r="D9" s="14" t="n">
        <f aca="false">C9*100/SUM($C$7:$C$18)</f>
        <v>3.02229736869914</v>
      </c>
      <c r="E9" s="14" t="n">
        <f aca="false">C9*100/$B$1</f>
        <v>2.84605433376455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113.06976744186</v>
      </c>
      <c r="G9" s="14" t="n">
        <f aca="false">F9*100/$B$1</f>
        <v>1.12518427148831</v>
      </c>
    </row>
    <row r="10" customFormat="false" ht="15" hidden="false" customHeight="true" outlineLevel="0" collapsed="false">
      <c r="A10" s="12" t="s">
        <v>85</v>
      </c>
      <c r="B10" s="12" t="s">
        <v>15</v>
      </c>
      <c r="C10" s="13" t="n">
        <v>465</v>
      </c>
      <c r="D10" s="14" t="n">
        <f aca="false">C10*100/SUM($C$7:$C$18)</f>
        <v>4.91387509246539</v>
      </c>
      <c r="E10" s="14" t="n">
        <f aca="false">C10*100/$B$1</f>
        <v>4.62732610209971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304.038461538462</v>
      </c>
      <c r="G10" s="14" t="n">
        <f aca="false">F10*100/$B$1</f>
        <v>3.02555937444981</v>
      </c>
    </row>
    <row r="11" customFormat="false" ht="27.75" hidden="false" customHeight="true" outlineLevel="0" collapsed="false">
      <c r="A11" s="12" t="s">
        <v>86</v>
      </c>
      <c r="B11" s="12" t="s">
        <v>15</v>
      </c>
      <c r="C11" s="13" t="n">
        <v>427</v>
      </c>
      <c r="D11" s="14" t="n">
        <f aca="false">C11*100/SUM($C$7:$C$18)</f>
        <v>4.51231110641446</v>
      </c>
      <c r="E11" s="14" t="n">
        <f aca="false">C11*100/$B$1</f>
        <v>4.24917902278834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279.192307692308</v>
      </c>
      <c r="G11" s="14" t="n">
        <f aca="false">F11*100/$B$1</f>
        <v>2.77830936105391</v>
      </c>
    </row>
    <row r="12" customFormat="false" ht="15" hidden="false" customHeight="true" outlineLevel="0" collapsed="false">
      <c r="A12" s="12" t="s">
        <v>87</v>
      </c>
      <c r="B12" s="12" t="s">
        <v>15</v>
      </c>
      <c r="C12" s="13" t="n">
        <v>409</v>
      </c>
      <c r="D12" s="14" t="n">
        <f aca="false">C12*100/SUM($C$7:$C$18)</f>
        <v>4.32209658670612</v>
      </c>
      <c r="E12" s="14" t="n">
        <f aca="false">C12*100/$B$1</f>
        <v>4.0700567220619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267.423076923077</v>
      </c>
      <c r="G12" s="14" t="n">
        <f aca="false">F12*100/$B$1</f>
        <v>2.66119093365586</v>
      </c>
    </row>
    <row r="13" customFormat="false" ht="15" hidden="false" customHeight="true" outlineLevel="0" collapsed="false">
      <c r="A13" s="15" t="s">
        <v>88</v>
      </c>
      <c r="B13" s="15" t="s">
        <v>17</v>
      </c>
      <c r="C13" s="16" t="n">
        <v>140</v>
      </c>
      <c r="D13" s="17" t="n">
        <f aca="false">C13*100/SUM($C$7:$C$18)</f>
        <v>1.47944626439818</v>
      </c>
      <c r="E13" s="17" t="n">
        <f aca="false">C13*100/$B$1</f>
        <v>1.39317345009454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332.5</v>
      </c>
      <c r="G13" s="17" t="n">
        <f aca="false">F13*100/$B$1</f>
        <v>3.30878694397452</v>
      </c>
    </row>
    <row r="14" customFormat="false" ht="27.75" hidden="false" customHeight="true" outlineLevel="0" collapsed="false">
      <c r="A14" s="12" t="s">
        <v>89</v>
      </c>
      <c r="B14" s="12" t="s">
        <v>19</v>
      </c>
      <c r="C14" s="13" t="n">
        <v>51</v>
      </c>
      <c r="D14" s="14" t="n">
        <f aca="false">C14*100/SUM($C$7:$C$18)</f>
        <v>0.538941139173624</v>
      </c>
      <c r="E14" s="14" t="n">
        <f aca="false">C14*100/$B$1</f>
        <v>0.507513185391581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71.4</v>
      </c>
      <c r="G14" s="14" t="n">
        <f aca="false">F14*100/$B$1</f>
        <v>0.710518459548214</v>
      </c>
    </row>
    <row r="15" customFormat="false" ht="27.75" hidden="false" customHeight="true" outlineLevel="0" collapsed="false">
      <c r="A15" s="12" t="s">
        <v>90</v>
      </c>
      <c r="B15" s="12" t="s">
        <v>21</v>
      </c>
      <c r="C15" s="13" t="n">
        <v>94</v>
      </c>
      <c r="D15" s="14" t="n">
        <f aca="false">C15*100/SUM($C$7:$C$18)</f>
        <v>0.993342491810208</v>
      </c>
      <c r="E15" s="14" t="n">
        <f aca="false">C15*100/$B$1</f>
        <v>0.935416459349189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391.666666666667</v>
      </c>
      <c r="G15" s="14" t="n">
        <f aca="false">F15*100/$B$1</f>
        <v>3.89756858062162</v>
      </c>
    </row>
    <row r="16" customFormat="false" ht="15" hidden="false" customHeight="true" outlineLevel="0" collapsed="false">
      <c r="A16" s="18" t="s">
        <v>91</v>
      </c>
      <c r="B16" s="18" t="s">
        <v>23</v>
      </c>
      <c r="C16" s="19" t="n">
        <v>2388</v>
      </c>
      <c r="D16" s="20" t="n">
        <f aca="false">C16*100/SUM($C$7:$C$18)</f>
        <v>25.2351262813061</v>
      </c>
      <c r="E16" s="20" t="n">
        <f aca="false">C16*100/$B$1</f>
        <v>23.7635585630411</v>
      </c>
      <c r="F16" s="19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2729.14285714286</v>
      </c>
      <c r="G16" s="20" t="n">
        <f aca="false">F16*100/$B$1</f>
        <v>27.1583526434755</v>
      </c>
    </row>
    <row r="17" customFormat="false" ht="15" hidden="false" customHeight="true" outlineLevel="0" collapsed="false">
      <c r="A17" s="18" t="s">
        <v>92</v>
      </c>
      <c r="B17" s="18" t="s">
        <v>23</v>
      </c>
      <c r="C17" s="19" t="n">
        <v>2279</v>
      </c>
      <c r="D17" s="20" t="n">
        <f aca="false">C17*100/SUM($C$7:$C$18)</f>
        <v>24.083271689739</v>
      </c>
      <c r="E17" s="20" t="n">
        <f aca="false">C17*100/$B$1</f>
        <v>22.6788735197532</v>
      </c>
      <c r="F17" s="19" t="n">
        <f aca="false">C17*IF(ISNUMBER(SEARCH("Labour",B17)),National!$L$4,IF(ISNUMBER(SEARCH("Conservative",B17)),National!$L$5,IF(OR(ISNUMBER(SEARCH("Reform",B17)),ISNUMBER(SEARCH("RefUK",B17))),National!$L$6,IF(ISNUMBER(SEARCH("Green",B17)),National!$L$7,IF(OR(ISNUMBER(SEARCH("Liberal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</f>
        <v>2604.57142857143</v>
      </c>
      <c r="G17" s="20" t="n">
        <f aca="false">F17*100/$B$1</f>
        <v>25.9187125940037</v>
      </c>
    </row>
    <row r="18" customFormat="false" ht="15" hidden="false" customHeight="true" outlineLevel="0" collapsed="false">
      <c r="A18" s="18" t="s">
        <v>93</v>
      </c>
      <c r="B18" s="18" t="s">
        <v>23</v>
      </c>
      <c r="C18" s="19" t="n">
        <v>2230</v>
      </c>
      <c r="D18" s="20" t="n">
        <f aca="false">C18*100/SUM($C$7:$C$18)</f>
        <v>23.5654654971996</v>
      </c>
      <c r="E18" s="20" t="n">
        <f aca="false">C18*100/$B$1</f>
        <v>22.1912628122201</v>
      </c>
      <c r="F18" s="19" t="n">
        <f aca="false">C18*IF(ISNUMBER(SEARCH("Labour",B18)),National!$L$4,IF(ISNUMBER(SEARCH("Conservative",B18)),National!$L$5,IF(OR(ISNUMBER(SEARCH("Reform",B18)),ISNUMBER(SEARCH("RefUK",B18))),National!$L$6,IF(ISNUMBER(SEARCH("Green",B18)),National!$L$7,IF(OR(ISNUMBER(SEARCH("Liberal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</f>
        <v>2548.57142857143</v>
      </c>
      <c r="G18" s="20" t="n">
        <f aca="false">F18*100/$B$1</f>
        <v>25.3614432139659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3" activeCellId="0" sqref="B2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10857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0.2758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94</v>
      </c>
      <c r="B7" s="12" t="s">
        <v>13</v>
      </c>
      <c r="C7" s="13" t="n">
        <v>917</v>
      </c>
      <c r="D7" s="14" t="n">
        <f aca="false">C7*100/SUM($C$7:$C$14)</f>
        <v>11.1557177615572</v>
      </c>
      <c r="E7" s="14" t="n">
        <f aca="false">C7*100/$B$1</f>
        <v>8.4461637653127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362.53488372093</v>
      </c>
      <c r="G7" s="14" t="n">
        <f aca="false">F7*100/$B$1</f>
        <v>3.33918102349572</v>
      </c>
    </row>
    <row r="8" customFormat="false" ht="15" hidden="false" customHeight="true" outlineLevel="0" collapsed="false">
      <c r="A8" s="12" t="s">
        <v>95</v>
      </c>
      <c r="B8" s="12" t="s">
        <v>13</v>
      </c>
      <c r="C8" s="13" t="n">
        <v>817</v>
      </c>
      <c r="D8" s="14" t="n">
        <f aca="false">C8*100/SUM($C$7:$C$14)</f>
        <v>9.93917274939173</v>
      </c>
      <c r="E8" s="14" t="n">
        <f aca="false">C8*100/$B$1</f>
        <v>7.52509901446072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323</v>
      </c>
      <c r="G8" s="14" t="n">
        <f aca="false">F8*100/$B$1</f>
        <v>2.97503914525191</v>
      </c>
    </row>
    <row r="9" customFormat="false" ht="27.75" hidden="false" customHeight="true" outlineLevel="0" collapsed="false">
      <c r="A9" s="12" t="s">
        <v>96</v>
      </c>
      <c r="B9" s="12" t="s">
        <v>13</v>
      </c>
      <c r="C9" s="13" t="n">
        <v>777</v>
      </c>
      <c r="D9" s="14" t="n">
        <f aca="false">C9*100/SUM($C$7:$C$14)</f>
        <v>9.45255474452555</v>
      </c>
      <c r="E9" s="14" t="n">
        <f aca="false">C9*100/$B$1</f>
        <v>7.15667311411992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307.186046511628</v>
      </c>
      <c r="G9" s="14" t="n">
        <f aca="false">F9*100/$B$1</f>
        <v>2.82938239395439</v>
      </c>
    </row>
    <row r="10" customFormat="false" ht="15" hidden="false" customHeight="true" outlineLevel="0" collapsed="false">
      <c r="A10" s="18" t="s">
        <v>97</v>
      </c>
      <c r="B10" s="18" t="s">
        <v>15</v>
      </c>
      <c r="C10" s="19" t="n">
        <v>1752</v>
      </c>
      <c r="D10" s="20" t="n">
        <f aca="false">C10*100/SUM($C$7:$C$14)</f>
        <v>21.3138686131387</v>
      </c>
      <c r="E10" s="20" t="n">
        <f aca="false">C10*100/$B$1</f>
        <v>16.1370544349268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1145.53846153846</v>
      </c>
      <c r="G10" s="20" t="n">
        <f aca="false">F10*100/$B$1</f>
        <v>10.5511509766829</v>
      </c>
    </row>
    <row r="11" customFormat="false" ht="15" hidden="false" customHeight="true" outlineLevel="0" collapsed="false">
      <c r="A11" s="18" t="s">
        <v>98</v>
      </c>
      <c r="B11" s="18" t="s">
        <v>15</v>
      </c>
      <c r="C11" s="19" t="n">
        <v>1728</v>
      </c>
      <c r="D11" s="20" t="n">
        <f aca="false">C11*100/SUM($C$7:$C$14)</f>
        <v>21.021897810219</v>
      </c>
      <c r="E11" s="20" t="n">
        <f aca="false">C11*100/$B$1</f>
        <v>15.9159988947223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1129.84615384615</v>
      </c>
      <c r="G11" s="20" t="n">
        <f aca="false">F11*100/$B$1</f>
        <v>10.4066146619338</v>
      </c>
    </row>
    <row r="12" customFormat="false" ht="15" hidden="false" customHeight="true" outlineLevel="0" collapsed="false">
      <c r="A12" s="18" t="s">
        <v>99</v>
      </c>
      <c r="B12" s="18" t="s">
        <v>15</v>
      </c>
      <c r="C12" s="19" t="n">
        <v>1618</v>
      </c>
      <c r="D12" s="20" t="n">
        <f aca="false">C12*100/SUM($C$7:$C$14)</f>
        <v>19.683698296837</v>
      </c>
      <c r="E12" s="20" t="n">
        <f aca="false">C12*100/$B$1</f>
        <v>14.9028276687851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1057.92307692308</v>
      </c>
      <c r="G12" s="20" t="n">
        <f aca="false">F12*100/$B$1</f>
        <v>9.74415655266719</v>
      </c>
    </row>
    <row r="13" customFormat="false" ht="15" hidden="false" customHeight="true" outlineLevel="0" collapsed="false">
      <c r="A13" s="15" t="s">
        <v>100</v>
      </c>
      <c r="B13" s="15" t="s">
        <v>17</v>
      </c>
      <c r="C13" s="16" t="n">
        <v>339</v>
      </c>
      <c r="D13" s="17" t="n">
        <f aca="false">C13*100/SUM($C$7:$C$14)</f>
        <v>4.12408759124088</v>
      </c>
      <c r="E13" s="17" t="n">
        <f aca="false">C13*100/$B$1</f>
        <v>3.12240950538823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805.125</v>
      </c>
      <c r="G13" s="17" t="n">
        <f aca="false">F13*100/$B$1</f>
        <v>7.41572257529704</v>
      </c>
    </row>
    <row r="14" customFormat="false" ht="15" hidden="false" customHeight="true" outlineLevel="0" collapsed="false">
      <c r="A14" s="12" t="s">
        <v>101</v>
      </c>
      <c r="B14" s="12" t="s">
        <v>19</v>
      </c>
      <c r="C14" s="13" t="n">
        <v>272</v>
      </c>
      <c r="D14" s="14" t="n">
        <f aca="false">C14*100/SUM($C$7:$C$14)</f>
        <v>3.30900243309002</v>
      </c>
      <c r="E14" s="14" t="n">
        <f aca="false">C14*100/$B$1</f>
        <v>2.5052961223174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380.8</v>
      </c>
      <c r="G14" s="14" t="n">
        <f aca="false">F14*100/$B$1</f>
        <v>3.50741457124436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3" activeCellId="0" sqref="B1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6871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0.2235</v>
      </c>
    </row>
    <row r="4" customFormat="false" ht="15" hidden="false" customHeight="true" outlineLevel="0" collapsed="false">
      <c r="A4" s="3" t="s">
        <v>3</v>
      </c>
      <c r="B4" s="6" t="n">
        <v>14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102</v>
      </c>
      <c r="B7" s="18" t="s">
        <v>27</v>
      </c>
      <c r="C7" s="19" t="n">
        <v>796</v>
      </c>
      <c r="D7" s="20" t="n">
        <f aca="false">C7*100/SUM($C$7:$C$12)</f>
        <v>27.3727647867951</v>
      </c>
      <c r="E7" s="20" t="n">
        <f aca="false">C7*100/$B$1</f>
        <v>11.5849221365158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314.697674418605</v>
      </c>
      <c r="G7" s="14" t="n">
        <f aca="false">F7*100/$B$1</f>
        <v>4.58008549583182</v>
      </c>
    </row>
    <row r="8" customFormat="false" ht="27.75" hidden="false" customHeight="true" outlineLevel="0" collapsed="false">
      <c r="A8" s="18" t="s">
        <v>103</v>
      </c>
      <c r="B8" s="18" t="s">
        <v>27</v>
      </c>
      <c r="C8" s="19" t="n">
        <v>751</v>
      </c>
      <c r="D8" s="20" t="n">
        <f aca="false">C8*100/SUM($C$7:$C$12)</f>
        <v>25.8253094910591</v>
      </c>
      <c r="E8" s="20" t="n">
        <f aca="false">C8*100/$B$1</f>
        <v>10.9299956338233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296.906976744186</v>
      </c>
      <c r="G8" s="14" t="n">
        <f aca="false">F8*100/$B$1</f>
        <v>4.3211610645348</v>
      </c>
    </row>
    <row r="9" customFormat="false" ht="27.75" hidden="false" customHeight="true" outlineLevel="0" collapsed="false">
      <c r="A9" s="12" t="s">
        <v>104</v>
      </c>
      <c r="B9" s="12" t="s">
        <v>59</v>
      </c>
      <c r="C9" s="13" t="n">
        <v>541</v>
      </c>
      <c r="D9" s="14" t="n">
        <f aca="false">C9*100/SUM($C$7:$C$12)</f>
        <v>18.6038514442916</v>
      </c>
      <c r="E9" s="14" t="n">
        <f aca="false">C9*100/$B$1</f>
        <v>7.87367195459176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353.730769230769</v>
      </c>
      <c r="G9" s="14" t="n">
        <f aca="false">F9*100/$B$1</f>
        <v>5.14817012415615</v>
      </c>
    </row>
    <row r="10" customFormat="false" ht="27.75" hidden="false" customHeight="true" outlineLevel="0" collapsed="false">
      <c r="A10" s="12" t="s">
        <v>105</v>
      </c>
      <c r="B10" s="12" t="s">
        <v>59</v>
      </c>
      <c r="C10" s="13" t="n">
        <v>510</v>
      </c>
      <c r="D10" s="14" t="n">
        <f aca="false">C10*100/SUM($C$7:$C$12)</f>
        <v>17.5378266850069</v>
      </c>
      <c r="E10" s="14" t="n">
        <f aca="false">C10*100/$B$1</f>
        <v>7.42250036384806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333.461538461538</v>
      </c>
      <c r="G10" s="14" t="n">
        <f aca="false">F10*100/$B$1</f>
        <v>4.85317331482373</v>
      </c>
    </row>
    <row r="11" customFormat="false" ht="27.75" hidden="false" customHeight="true" outlineLevel="0" collapsed="false">
      <c r="A11" s="15" t="s">
        <v>106</v>
      </c>
      <c r="B11" s="15" t="s">
        <v>17</v>
      </c>
      <c r="C11" s="16" t="n">
        <v>174</v>
      </c>
      <c r="D11" s="17" t="n">
        <f aca="false">C11*100/SUM($C$7:$C$12)</f>
        <v>5.98349381017882</v>
      </c>
      <c r="E11" s="17" t="n">
        <f aca="false">C11*100/$B$1</f>
        <v>2.53238247707757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413.25</v>
      </c>
      <c r="G11" s="23" t="n">
        <f aca="false">F11*100/$B$1</f>
        <v>6.01440838305923</v>
      </c>
    </row>
    <row r="12" customFormat="false" ht="15" hidden="false" customHeight="true" outlineLevel="0" collapsed="false">
      <c r="A12" s="12" t="s">
        <v>107</v>
      </c>
      <c r="B12" s="12" t="s">
        <v>19</v>
      </c>
      <c r="C12" s="13" t="n">
        <v>136</v>
      </c>
      <c r="D12" s="14" t="n">
        <f aca="false">C12*100/SUM($C$7:$C$12)</f>
        <v>4.6767537826685</v>
      </c>
      <c r="E12" s="14" t="n">
        <f aca="false">C12*100/$B$1</f>
        <v>1.97933343035948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190.4</v>
      </c>
      <c r="G12" s="14" t="n">
        <f aca="false">F12*100/$B$1</f>
        <v>2.77106680250327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1" activeCellId="0" sqref="G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6645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0.2439</v>
      </c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108</v>
      </c>
      <c r="B7" s="12" t="s">
        <v>13</v>
      </c>
      <c r="C7" s="13" t="n">
        <v>486</v>
      </c>
      <c r="D7" s="14" t="n">
        <f aca="false">C7*100/SUM($C$7:$C$12)</f>
        <v>15.9135559921415</v>
      </c>
      <c r="E7" s="14" t="n">
        <f aca="false">C7*100/$B$1</f>
        <v>7.313769751693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192.139534883721</v>
      </c>
      <c r="G7" s="14" t="n">
        <f aca="false">F7*100/$B$1</f>
        <v>2.8914903669484</v>
      </c>
    </row>
    <row r="8" customFormat="false" ht="27.75" hidden="false" customHeight="true" outlineLevel="0" collapsed="false">
      <c r="A8" s="12" t="s">
        <v>109</v>
      </c>
      <c r="B8" s="12" t="s">
        <v>13</v>
      </c>
      <c r="C8" s="13" t="n">
        <v>425</v>
      </c>
      <c r="D8" s="14" t="n">
        <f aca="false">C8*100/SUM($C$7:$C$12)</f>
        <v>13.9161755075311</v>
      </c>
      <c r="E8" s="14" t="n">
        <f aca="false">C8*100/$B$1</f>
        <v>6.39578630549285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168.023255813953</v>
      </c>
      <c r="G8" s="14" t="n">
        <f aca="false">F8*100/$B$1</f>
        <v>2.52856667891578</v>
      </c>
    </row>
    <row r="9" customFormat="false" ht="27.75" hidden="false" customHeight="true" outlineLevel="0" collapsed="false">
      <c r="A9" s="18" t="s">
        <v>110</v>
      </c>
      <c r="B9" s="18" t="s">
        <v>59</v>
      </c>
      <c r="C9" s="19" t="n">
        <v>938</v>
      </c>
      <c r="D9" s="20" t="n">
        <f aca="false">C9*100/SUM($C$7:$C$12)</f>
        <v>30.7138179436804</v>
      </c>
      <c r="E9" s="20" t="n">
        <f aca="false">C9*100/$B$1</f>
        <v>14.1158765989466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613.307692307692</v>
      </c>
      <c r="G9" s="20" t="n">
        <f aca="false">F9*100/$B$1</f>
        <v>9.22961162238815</v>
      </c>
    </row>
    <row r="10" customFormat="false" ht="27.75" hidden="false" customHeight="true" outlineLevel="0" collapsed="false">
      <c r="A10" s="18" t="s">
        <v>111</v>
      </c>
      <c r="B10" s="18" t="s">
        <v>59</v>
      </c>
      <c r="C10" s="19" t="n">
        <v>933</v>
      </c>
      <c r="D10" s="20" t="n">
        <f aca="false">C10*100/SUM($C$7:$C$12)</f>
        <v>30.5500982318271</v>
      </c>
      <c r="E10" s="20" t="n">
        <f aca="false">C10*100/$B$1</f>
        <v>14.0406320541761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610.038461538462</v>
      </c>
      <c r="G10" s="20" t="n">
        <f aca="false">F10*100/$B$1</f>
        <v>9.18041326619205</v>
      </c>
    </row>
    <row r="11" customFormat="false" ht="15" hidden="false" customHeight="true" outlineLevel="0" collapsed="false">
      <c r="A11" s="15" t="s">
        <v>112</v>
      </c>
      <c r="B11" s="15" t="s">
        <v>17</v>
      </c>
      <c r="C11" s="16" t="n">
        <v>156</v>
      </c>
      <c r="D11" s="17" t="n">
        <f aca="false">C11*100/SUM($C$7:$C$12)</f>
        <v>5.10805500982318</v>
      </c>
      <c r="E11" s="17" t="n">
        <f aca="false">C11*100/$B$1</f>
        <v>2.34762979683973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370.5</v>
      </c>
      <c r="G11" s="17" t="n">
        <f aca="false">F11*100/$B$1</f>
        <v>5.57562076749436</v>
      </c>
    </row>
    <row r="12" customFormat="false" ht="15" hidden="false" customHeight="true" outlineLevel="0" collapsed="false">
      <c r="A12" s="12" t="s">
        <v>113</v>
      </c>
      <c r="B12" s="12" t="s">
        <v>19</v>
      </c>
      <c r="C12" s="13" t="n">
        <v>116</v>
      </c>
      <c r="D12" s="14" t="n">
        <f aca="false">C12*100/SUM($C$7:$C$12)</f>
        <v>3.79829731499673</v>
      </c>
      <c r="E12" s="14" t="n">
        <f aca="false">C12*100/$B$1</f>
        <v>1.7456734386757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162.4</v>
      </c>
      <c r="G12" s="14" t="n">
        <f aca="false">F12*100/$B$1</f>
        <v>2.44394281414597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2" colorId="64" zoomScale="90" zoomScaleNormal="90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10341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0.2873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114</v>
      </c>
      <c r="B7" s="12" t="s">
        <v>13</v>
      </c>
      <c r="C7" s="13" t="n">
        <v>1025</v>
      </c>
      <c r="D7" s="14" t="n">
        <f aca="false">C7*100/SUM($C$7:$C$16)</f>
        <v>12.51220703125</v>
      </c>
      <c r="E7" s="14" t="n">
        <f aca="false">C7*100/$B$1</f>
        <v>9.91200077361957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405.232558139535</v>
      </c>
      <c r="G7" s="14" t="n">
        <f aca="false">F7*100/$B$1</f>
        <v>3.9186979802682</v>
      </c>
    </row>
    <row r="8" customFormat="false" ht="27.75" hidden="false" customHeight="true" outlineLevel="0" collapsed="false">
      <c r="A8" s="12" t="s">
        <v>115</v>
      </c>
      <c r="B8" s="12" t="s">
        <v>13</v>
      </c>
      <c r="C8" s="13" t="n">
        <v>946</v>
      </c>
      <c r="D8" s="14" t="n">
        <f aca="false">C8*100/SUM($C$7:$C$16)</f>
        <v>11.5478515625</v>
      </c>
      <c r="E8" s="14" t="n">
        <f aca="false">C8*100/$B$1</f>
        <v>9.14805144570158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374</v>
      </c>
      <c r="G8" s="14" t="n">
        <f aca="false">F8*100/$B$1</f>
        <v>3.616671501789</v>
      </c>
    </row>
    <row r="9" customFormat="false" ht="27.75" hidden="false" customHeight="true" outlineLevel="0" collapsed="false">
      <c r="A9" s="12" t="s">
        <v>116</v>
      </c>
      <c r="B9" s="12" t="s">
        <v>13</v>
      </c>
      <c r="C9" s="13" t="n">
        <v>907</v>
      </c>
      <c r="D9" s="14" t="n">
        <f aca="false">C9*100/SUM($C$7:$C$16)</f>
        <v>11.07177734375</v>
      </c>
      <c r="E9" s="14" t="n">
        <f aca="false">C9*100/$B$1</f>
        <v>8.77091190407117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358.581395348837</v>
      </c>
      <c r="G9" s="14" t="n">
        <f aca="false">F9*100/$B$1</f>
        <v>3.46756982253977</v>
      </c>
    </row>
    <row r="10" customFormat="false" ht="15" hidden="false" customHeight="true" outlineLevel="0" collapsed="false">
      <c r="A10" s="18" t="s">
        <v>117</v>
      </c>
      <c r="B10" s="18" t="s">
        <v>59</v>
      </c>
      <c r="C10" s="19" t="n">
        <v>1210</v>
      </c>
      <c r="D10" s="20" t="n">
        <f aca="false">C10*100/SUM($C$7:$C$16)</f>
        <v>14.7705078125</v>
      </c>
      <c r="E10" s="20" t="n">
        <f aca="false">C10*100/$B$1</f>
        <v>11.7009960351997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791.153846153846</v>
      </c>
      <c r="G10" s="14" t="n">
        <f aca="false">F10*100/$B$1</f>
        <v>7.65065125378441</v>
      </c>
    </row>
    <row r="11" customFormat="false" ht="15" hidden="false" customHeight="true" outlineLevel="0" collapsed="false">
      <c r="A11" s="18" t="s">
        <v>118</v>
      </c>
      <c r="B11" s="18" t="s">
        <v>59</v>
      </c>
      <c r="C11" s="19" t="n">
        <v>1138</v>
      </c>
      <c r="D11" s="20" t="n">
        <f aca="false">C11*100/SUM($C$7:$C$16)</f>
        <v>13.8916015625</v>
      </c>
      <c r="E11" s="20" t="n">
        <f aca="false">C11*100/$B$1</f>
        <v>11.004738419882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744.076923076923</v>
      </c>
      <c r="G11" s="14" t="n">
        <f aca="false">F11*100/$B$1</f>
        <v>7.19540588992286</v>
      </c>
    </row>
    <row r="12" customFormat="false" ht="15" hidden="false" customHeight="true" outlineLevel="0" collapsed="false">
      <c r="A12" s="18" t="s">
        <v>119</v>
      </c>
      <c r="B12" s="18" t="s">
        <v>59</v>
      </c>
      <c r="C12" s="19" t="n">
        <v>1124</v>
      </c>
      <c r="D12" s="20" t="n">
        <f aca="false">C12*100/SUM($C$7:$C$16)</f>
        <v>13.720703125</v>
      </c>
      <c r="E12" s="20" t="n">
        <f aca="false">C12*100/$B$1</f>
        <v>10.8693549946814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734.923076923077</v>
      </c>
      <c r="G12" s="14" t="n">
        <f aca="false">F12*100/$B$1</f>
        <v>7.10688595806089</v>
      </c>
    </row>
    <row r="13" customFormat="false" ht="27.75" hidden="false" customHeight="true" outlineLevel="0" collapsed="false">
      <c r="A13" s="15" t="s">
        <v>120</v>
      </c>
      <c r="B13" s="15" t="s">
        <v>17</v>
      </c>
      <c r="C13" s="16" t="n">
        <v>442</v>
      </c>
      <c r="D13" s="17" t="n">
        <f aca="false">C13*100/SUM($C$7:$C$16)</f>
        <v>5.3955078125</v>
      </c>
      <c r="E13" s="17" t="n">
        <f aca="false">C13*100/$B$1</f>
        <v>4.2742481384779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1049.75</v>
      </c>
      <c r="G13" s="23" t="n">
        <f aca="false">F13*100/$B$1</f>
        <v>10.151339328885</v>
      </c>
    </row>
    <row r="14" customFormat="false" ht="15" hidden="false" customHeight="true" outlineLevel="0" collapsed="false">
      <c r="A14" s="12" t="s">
        <v>121</v>
      </c>
      <c r="B14" s="12" t="s">
        <v>19</v>
      </c>
      <c r="C14" s="13" t="n">
        <v>675</v>
      </c>
      <c r="D14" s="14" t="n">
        <f aca="false">C14*100/SUM($C$7:$C$16)</f>
        <v>8.23974609375</v>
      </c>
      <c r="E14" s="14" t="n">
        <f aca="false">C14*100/$B$1</f>
        <v>6.52741514360313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945</v>
      </c>
      <c r="G14" s="14" t="n">
        <f aca="false">F14*100/$B$1</f>
        <v>9.13838120104439</v>
      </c>
    </row>
    <row r="15" customFormat="false" ht="15" hidden="false" customHeight="true" outlineLevel="0" collapsed="false">
      <c r="A15" s="12" t="s">
        <v>122</v>
      </c>
      <c r="B15" s="12" t="s">
        <v>19</v>
      </c>
      <c r="C15" s="13" t="n">
        <v>402</v>
      </c>
      <c r="D15" s="14" t="n">
        <f aca="false">C15*100/SUM($C$7:$C$16)</f>
        <v>4.9072265625</v>
      </c>
      <c r="E15" s="14" t="n">
        <f aca="false">C15*100/$B$1</f>
        <v>3.88743835219031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562.8</v>
      </c>
      <c r="G15" s="14" t="n">
        <f aca="false">F15*100/$B$1</f>
        <v>5.44241369306643</v>
      </c>
    </row>
    <row r="16" customFormat="false" ht="27.75" hidden="false" customHeight="true" outlineLevel="0" collapsed="false">
      <c r="A16" s="12" t="s">
        <v>123</v>
      </c>
      <c r="B16" s="12" t="s">
        <v>19</v>
      </c>
      <c r="C16" s="13" t="n">
        <v>323</v>
      </c>
      <c r="D16" s="14" t="n">
        <f aca="false">C16*100/SUM($C$7:$C$16)</f>
        <v>3.94287109375</v>
      </c>
      <c r="E16" s="14" t="n">
        <f aca="false">C16*100/$B$1</f>
        <v>3.12348902427231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452.2</v>
      </c>
      <c r="G16" s="14" t="n">
        <f aca="false">F16*100/$B$1</f>
        <v>4.37288463398124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25.91"/>
    <col collapsed="false" customWidth="true" hidden="false" outlineLevel="0" max="7" min="7" style="1" width="31.2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10466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0.2715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124</v>
      </c>
      <c r="B7" s="12" t="s">
        <v>13</v>
      </c>
      <c r="C7" s="13" t="n">
        <v>920</v>
      </c>
      <c r="D7" s="14" t="n">
        <f aca="false">C7*100/SUM($C$7:$C$15)</f>
        <v>11.8358420172392</v>
      </c>
      <c r="E7" s="14" t="n">
        <f aca="false">C7*100/$B$1</f>
        <v>8.79036881330021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363.720930232558</v>
      </c>
      <c r="G7" s="14" t="n">
        <f aca="false">F7*100/$B$1</f>
        <v>3.47526208897915</v>
      </c>
    </row>
    <row r="8" customFormat="false" ht="15" hidden="false" customHeight="true" outlineLevel="0" collapsed="false">
      <c r="A8" s="12" t="s">
        <v>125</v>
      </c>
      <c r="B8" s="12" t="s">
        <v>13</v>
      </c>
      <c r="C8" s="13" t="n">
        <v>835</v>
      </c>
      <c r="D8" s="14" t="n">
        <f aca="false">C8*100/SUM($C$7:$C$15)</f>
        <v>10.7423131352116</v>
      </c>
      <c r="E8" s="14" t="n">
        <f aca="false">C8*100/$B$1</f>
        <v>7.97821517294095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330.116279069767</v>
      </c>
      <c r="G8" s="14" t="n">
        <f aca="false">F8*100/$B$1</f>
        <v>3.15417809162782</v>
      </c>
    </row>
    <row r="9" customFormat="false" ht="15" hidden="false" customHeight="true" outlineLevel="0" collapsed="false">
      <c r="A9" s="12" t="s">
        <v>126</v>
      </c>
      <c r="B9" s="12" t="s">
        <v>13</v>
      </c>
      <c r="C9" s="13" t="n">
        <v>759</v>
      </c>
      <c r="D9" s="14" t="n">
        <f aca="false">C9*100/SUM($C$7:$C$15)</f>
        <v>9.76456966422231</v>
      </c>
      <c r="E9" s="14" t="n">
        <f aca="false">C9*100/$B$1</f>
        <v>7.25205427097267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300.06976744186</v>
      </c>
      <c r="G9" s="14" t="n">
        <f aca="false">F9*100/$B$1</f>
        <v>2.8670912234078</v>
      </c>
    </row>
    <row r="10" customFormat="false" ht="15" hidden="false" customHeight="true" outlineLevel="0" collapsed="false">
      <c r="A10" s="18" t="s">
        <v>127</v>
      </c>
      <c r="B10" s="18" t="s">
        <v>59</v>
      </c>
      <c r="C10" s="19" t="n">
        <v>1455</v>
      </c>
      <c r="D10" s="20" t="n">
        <f aca="false">C10*100/SUM($C$7:$C$15)</f>
        <v>18.7186414511772</v>
      </c>
      <c r="E10" s="20" t="n">
        <f aca="false">C10*100/$B$1</f>
        <v>13.9021593732085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951.346153846154</v>
      </c>
      <c r="G10" s="14" t="n">
        <f aca="false">F10*100/$B$1</f>
        <v>9.08987343632862</v>
      </c>
    </row>
    <row r="11" customFormat="false" ht="15" hidden="false" customHeight="true" outlineLevel="0" collapsed="false">
      <c r="A11" s="18" t="s">
        <v>128</v>
      </c>
      <c r="B11" s="18" t="s">
        <v>59</v>
      </c>
      <c r="C11" s="19" t="n">
        <v>1448</v>
      </c>
      <c r="D11" s="20" t="n">
        <f aca="false">C11*100/SUM($C$7:$C$15)</f>
        <v>18.6285861314808</v>
      </c>
      <c r="E11" s="20" t="n">
        <f aca="false">C11*100/$B$1</f>
        <v>13.8352761322377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946.769230769231</v>
      </c>
      <c r="G11" s="14" t="n">
        <f aca="false">F11*100/$B$1</f>
        <v>9.04614208646313</v>
      </c>
    </row>
    <row r="12" customFormat="false" ht="15" hidden="false" customHeight="true" outlineLevel="0" collapsed="false">
      <c r="A12" s="18" t="s">
        <v>129</v>
      </c>
      <c r="B12" s="18" t="s">
        <v>59</v>
      </c>
      <c r="C12" s="19" t="n">
        <v>1430</v>
      </c>
      <c r="D12" s="20" t="n">
        <f aca="false">C12*100/SUM($C$7:$C$15)</f>
        <v>18.3970153094044</v>
      </c>
      <c r="E12" s="20" t="n">
        <f aca="false">C12*100/$B$1</f>
        <v>13.6632906554558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935</v>
      </c>
      <c r="G12" s="14" t="n">
        <f aca="false">F12*100/$B$1</f>
        <v>8.93369004395184</v>
      </c>
    </row>
    <row r="13" customFormat="false" ht="15" hidden="false" customHeight="true" outlineLevel="0" collapsed="false">
      <c r="A13" s="15" t="s">
        <v>130</v>
      </c>
      <c r="B13" s="15" t="s">
        <v>17</v>
      </c>
      <c r="C13" s="16" t="n">
        <v>431</v>
      </c>
      <c r="D13" s="17" t="n">
        <f aca="false">C13*100/SUM($C$7:$C$15)</f>
        <v>5.54483468416313</v>
      </c>
      <c r="E13" s="17" t="n">
        <f aca="false">C13*100/$B$1</f>
        <v>4.11809669405695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1023.625</v>
      </c>
      <c r="G13" s="23" t="n">
        <f aca="false">F13*100/$B$1</f>
        <v>9.78047964838525</v>
      </c>
    </row>
    <row r="14" customFormat="false" ht="15" hidden="false" customHeight="true" outlineLevel="0" collapsed="false">
      <c r="A14" s="12" t="s">
        <v>131</v>
      </c>
      <c r="B14" s="12" t="s">
        <v>19</v>
      </c>
      <c r="C14" s="13" t="n">
        <v>337</v>
      </c>
      <c r="D14" s="14" t="n">
        <f aca="false">C14*100/SUM($C$7:$C$15)</f>
        <v>4.33552039109739</v>
      </c>
      <c r="E14" s="14" t="n">
        <f aca="false">C14*100/$B$1</f>
        <v>3.21995031530671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471.8</v>
      </c>
      <c r="G14" s="14" t="n">
        <f aca="false">F14*100/$B$1</f>
        <v>4.50793044142939</v>
      </c>
    </row>
    <row r="15" customFormat="false" ht="15" hidden="false" customHeight="true" outlineLevel="0" collapsed="false">
      <c r="A15" s="12" t="s">
        <v>132</v>
      </c>
      <c r="B15" s="12" t="s">
        <v>81</v>
      </c>
      <c r="C15" s="13" t="n">
        <v>158</v>
      </c>
      <c r="D15" s="14" t="n">
        <f aca="false">C15*100/SUM($C$7:$C$15)</f>
        <v>2.03267721600412</v>
      </c>
      <c r="E15" s="14" t="n">
        <f aca="false">C15*100/$B$1</f>
        <v>1.50965029619721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180.571428571429</v>
      </c>
      <c r="G15" s="14" t="n">
        <f aca="false">F15*100/$B$1</f>
        <v>1.72531462422538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7" activeCellId="0" sqref="E1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7309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0.3222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133</v>
      </c>
      <c r="B7" s="12" t="s">
        <v>13</v>
      </c>
      <c r="C7" s="13" t="n">
        <v>750</v>
      </c>
      <c r="D7" s="14" t="n">
        <f aca="false">C7*100/SUM($C$7:$C$14)</f>
        <v>17.1076642335766</v>
      </c>
      <c r="E7" s="14" t="n">
        <f aca="false">C7*100/$B$1</f>
        <v>10.2613216582296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296.511627906977</v>
      </c>
      <c r="G7" s="14" t="n">
        <f aca="false">F7*100/$B$1</f>
        <v>4.05680158581169</v>
      </c>
    </row>
    <row r="8" customFormat="false" ht="15" hidden="false" customHeight="true" outlineLevel="0" collapsed="false">
      <c r="A8" s="12" t="s">
        <v>134</v>
      </c>
      <c r="B8" s="12" t="s">
        <v>13</v>
      </c>
      <c r="C8" s="13" t="n">
        <v>498</v>
      </c>
      <c r="D8" s="14" t="n">
        <f aca="false">C8*100/SUM($C$7:$C$14)</f>
        <v>11.3594890510949</v>
      </c>
      <c r="E8" s="14" t="n">
        <f aca="false">C8*100/$B$1</f>
        <v>6.81351758106444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196.883720930233</v>
      </c>
      <c r="G8" s="14" t="n">
        <f aca="false">F8*100/$B$1</f>
        <v>2.69371625297897</v>
      </c>
    </row>
    <row r="9" customFormat="false" ht="15" hidden="false" customHeight="true" outlineLevel="0" collapsed="false">
      <c r="A9" s="18" t="s">
        <v>135</v>
      </c>
      <c r="B9" s="18" t="s">
        <v>59</v>
      </c>
      <c r="C9" s="19" t="n">
        <v>1177</v>
      </c>
      <c r="D9" s="20" t="n">
        <f aca="false">C9*100/SUM($C$7:$C$14)</f>
        <v>26.8476277372263</v>
      </c>
      <c r="E9" s="20" t="n">
        <f aca="false">C9*100/$B$1</f>
        <v>16.103434122315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769.576923076923</v>
      </c>
      <c r="G9" s="14" t="n">
        <f aca="false">F9*100/$B$1</f>
        <v>10.5291684645905</v>
      </c>
    </row>
    <row r="10" customFormat="false" ht="15" hidden="false" customHeight="true" outlineLevel="0" collapsed="false">
      <c r="A10" s="18" t="s">
        <v>136</v>
      </c>
      <c r="B10" s="18" t="s">
        <v>59</v>
      </c>
      <c r="C10" s="19" t="n">
        <v>1027</v>
      </c>
      <c r="D10" s="20" t="n">
        <f aca="false">C10*100/SUM($C$7:$C$14)</f>
        <v>23.426094890511</v>
      </c>
      <c r="E10" s="20" t="n">
        <f aca="false">C10*100/$B$1</f>
        <v>14.051169790669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671.5</v>
      </c>
      <c r="G10" s="14" t="n">
        <f aca="false">F10*100/$B$1</f>
        <v>9.18730332466822</v>
      </c>
    </row>
    <row r="11" customFormat="false" ht="27.75" hidden="false" customHeight="true" outlineLevel="0" collapsed="false">
      <c r="A11" s="15" t="s">
        <v>137</v>
      </c>
      <c r="B11" s="15" t="s">
        <v>17</v>
      </c>
      <c r="C11" s="16" t="n">
        <v>341</v>
      </c>
      <c r="D11" s="17" t="n">
        <f aca="false">C11*100/SUM($C$7:$C$14)</f>
        <v>7.77828467153285</v>
      </c>
      <c r="E11" s="17" t="n">
        <f aca="false">C11*100/$B$1</f>
        <v>4.66548091394172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809.875</v>
      </c>
      <c r="G11" s="23" t="n">
        <f aca="false">F11*100/$B$1</f>
        <v>11.0805171706116</v>
      </c>
    </row>
    <row r="12" customFormat="false" ht="15" hidden="false" customHeight="true" outlineLevel="0" collapsed="false">
      <c r="A12" s="12" t="s">
        <v>138</v>
      </c>
      <c r="B12" s="12" t="s">
        <v>19</v>
      </c>
      <c r="C12" s="13" t="n">
        <v>269</v>
      </c>
      <c r="D12" s="14" t="n">
        <f aca="false">C12*100/SUM($C$7:$C$14)</f>
        <v>6.13594890510949</v>
      </c>
      <c r="E12" s="14" t="n">
        <f aca="false">C12*100/$B$1</f>
        <v>3.68039403475168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376.6</v>
      </c>
      <c r="G12" s="14" t="n">
        <f aca="false">F12*100/$B$1</f>
        <v>5.15255164865235</v>
      </c>
    </row>
    <row r="13" customFormat="false" ht="27.75" hidden="false" customHeight="true" outlineLevel="0" collapsed="false">
      <c r="A13" s="12" t="s">
        <v>139</v>
      </c>
      <c r="B13" s="12" t="s">
        <v>23</v>
      </c>
      <c r="C13" s="13" t="n">
        <v>226</v>
      </c>
      <c r="D13" s="14" t="n">
        <f aca="false">C13*100/SUM($C$7:$C$14)</f>
        <v>5.1551094890511</v>
      </c>
      <c r="E13" s="14" t="n">
        <f aca="false">C13*100/$B$1</f>
        <v>3.09207825967985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258.285714285714</v>
      </c>
      <c r="G13" s="14" t="n">
        <f aca="false">F13*100/$B$1</f>
        <v>3.5338037253484</v>
      </c>
    </row>
    <row r="14" customFormat="false" ht="15" hidden="false" customHeight="true" outlineLevel="0" collapsed="false">
      <c r="A14" s="12" t="s">
        <v>140</v>
      </c>
      <c r="B14" s="12" t="s">
        <v>23</v>
      </c>
      <c r="C14" s="13" t="n">
        <v>96</v>
      </c>
      <c r="D14" s="14" t="n">
        <f aca="false">C14*100/SUM($C$7:$C$14)</f>
        <v>2.18978102189781</v>
      </c>
      <c r="E14" s="14" t="n">
        <f aca="false">C14*100/$B$1</f>
        <v>1.31344917225339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109.714285714286</v>
      </c>
      <c r="G14" s="14" t="n">
        <f aca="false">F14*100/$B$1</f>
        <v>1.50108476828958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9363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0.2815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141</v>
      </c>
      <c r="B7" s="18" t="s">
        <v>27</v>
      </c>
      <c r="C7" s="19" t="n">
        <v>1658</v>
      </c>
      <c r="D7" s="20" t="n">
        <f aca="false">C7*100/SUM($C$7:$C$14)</f>
        <v>22.7061079156396</v>
      </c>
      <c r="E7" s="20" t="n">
        <f aca="false">C7*100/$B$1</f>
        <v>17.7079995727865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655.488372093023</v>
      </c>
      <c r="G7" s="14" t="n">
        <f aca="false">F7*100/$B$1</f>
        <v>7.00083704040396</v>
      </c>
    </row>
    <row r="8" customFormat="false" ht="15" hidden="false" customHeight="true" outlineLevel="0" collapsed="false">
      <c r="A8" s="18" t="s">
        <v>142</v>
      </c>
      <c r="B8" s="18" t="s">
        <v>27</v>
      </c>
      <c r="C8" s="19" t="n">
        <v>1517</v>
      </c>
      <c r="D8" s="20" t="n">
        <f aca="false">C8*100/SUM($C$7:$C$14)</f>
        <v>20.7751301013421</v>
      </c>
      <c r="E8" s="20" t="n">
        <f aca="false">C8*100/$B$1</f>
        <v>16.2020719854747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599.744186046512</v>
      </c>
      <c r="G8" s="14" t="n">
        <f aca="false">F8*100/$B$1</f>
        <v>6.40547031983885</v>
      </c>
    </row>
    <row r="9" customFormat="false" ht="15" hidden="false" customHeight="true" outlineLevel="0" collapsed="false">
      <c r="A9" s="18" t="s">
        <v>143</v>
      </c>
      <c r="B9" s="18" t="s">
        <v>27</v>
      </c>
      <c r="C9" s="19" t="n">
        <v>1347</v>
      </c>
      <c r="D9" s="20" t="n">
        <f aca="false">C9*100/SUM($C$7:$C$14)</f>
        <v>18.4470008216927</v>
      </c>
      <c r="E9" s="20" t="n">
        <f aca="false">C9*100/$B$1</f>
        <v>14.3864146107017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532.53488372093</v>
      </c>
      <c r="G9" s="14" t="n">
        <f aca="false">F9*100/$B$1</f>
        <v>5.68765228795183</v>
      </c>
    </row>
    <row r="10" customFormat="false" ht="15" hidden="false" customHeight="true" outlineLevel="0" collapsed="false">
      <c r="A10" s="12" t="s">
        <v>144</v>
      </c>
      <c r="B10" s="12" t="s">
        <v>15</v>
      </c>
      <c r="C10" s="13" t="n">
        <v>784</v>
      </c>
      <c r="D10" s="14" t="n">
        <f aca="false">C10*100/SUM($C$7:$C$14)</f>
        <v>10.7367844426185</v>
      </c>
      <c r="E10" s="14" t="n">
        <f aca="false">C10*100/$B$1</f>
        <v>8.37338459895333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512.615384615385</v>
      </c>
      <c r="G10" s="14" t="n">
        <f aca="false">F10*100/$B$1</f>
        <v>5.47490531470025</v>
      </c>
    </row>
    <row r="11" customFormat="false" ht="15" hidden="false" customHeight="true" outlineLevel="0" collapsed="false">
      <c r="A11" s="12" t="s">
        <v>145</v>
      </c>
      <c r="B11" s="12" t="s">
        <v>15</v>
      </c>
      <c r="C11" s="13" t="n">
        <v>755</v>
      </c>
      <c r="D11" s="14" t="n">
        <f aca="false">C11*100/SUM($C$7:$C$14)</f>
        <v>10.3396329772665</v>
      </c>
      <c r="E11" s="14" t="n">
        <f aca="false">C11*100/$B$1</f>
        <v>8.06365481149204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493.653846153846</v>
      </c>
      <c r="G11" s="14" t="n">
        <f aca="false">F11*100/$B$1</f>
        <v>5.27238968443711</v>
      </c>
    </row>
    <row r="12" customFormat="false" ht="15" hidden="false" customHeight="true" outlineLevel="0" collapsed="false">
      <c r="A12" s="12" t="s">
        <v>146</v>
      </c>
      <c r="B12" s="12" t="s">
        <v>15</v>
      </c>
      <c r="C12" s="13" t="n">
        <v>665</v>
      </c>
      <c r="D12" s="14" t="n">
        <f aca="false">C12*100/SUM($C$7:$C$14)</f>
        <v>9.10709394686387</v>
      </c>
      <c r="E12" s="14" t="n">
        <f aca="false">C12*100/$B$1</f>
        <v>7.1024244366122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434.807692307692</v>
      </c>
      <c r="G12" s="14" t="n">
        <f aca="false">F12*100/$B$1</f>
        <v>4.64389290086182</v>
      </c>
    </row>
    <row r="13" customFormat="false" ht="15" hidden="false" customHeight="true" outlineLevel="0" collapsed="false">
      <c r="A13" s="15" t="s">
        <v>147</v>
      </c>
      <c r="B13" s="15" t="s">
        <v>17</v>
      </c>
      <c r="C13" s="16" t="n">
        <v>370</v>
      </c>
      <c r="D13" s="17" t="n">
        <f aca="false">C13*100/SUM($C$7:$C$14)</f>
        <v>5.06710490276637</v>
      </c>
      <c r="E13" s="17" t="n">
        <f aca="false">C13*100/$B$1</f>
        <v>3.95172487450603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878.75</v>
      </c>
      <c r="G13" s="23" t="n">
        <f aca="false">F13*100/$B$1</f>
        <v>9.38534657695183</v>
      </c>
    </row>
    <row r="14" customFormat="false" ht="15" hidden="false" customHeight="true" outlineLevel="0" collapsed="false">
      <c r="A14" s="12" t="s">
        <v>148</v>
      </c>
      <c r="B14" s="12" t="s">
        <v>19</v>
      </c>
      <c r="C14" s="13" t="n">
        <v>206</v>
      </c>
      <c r="D14" s="14" t="n">
        <f aca="false">C14*100/SUM($C$7:$C$14)</f>
        <v>2.82114489181046</v>
      </c>
      <c r="E14" s="14" t="n">
        <f aca="false">C14*100/$B$1</f>
        <v>2.20014952472498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288.4</v>
      </c>
      <c r="G14" s="14" t="n">
        <f aca="false">F14*100/$B$1</f>
        <v>3.08020933461497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8651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0.389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47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8" t="s">
        <v>149</v>
      </c>
      <c r="B7" s="18" t="s">
        <v>27</v>
      </c>
      <c r="C7" s="19" t="n">
        <v>1807</v>
      </c>
      <c r="D7" s="20" t="n">
        <f aca="false">C7*100/SUM($C$7:$C$14)</f>
        <v>19.2931881272688</v>
      </c>
      <c r="E7" s="20" t="n">
        <f aca="false">C7*100/$B$1</f>
        <v>20.8877586406196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714.395348837209</v>
      </c>
      <c r="G7" s="14" t="n">
        <f aca="false">F7*100/$B$1</f>
        <v>8.25795109047751</v>
      </c>
    </row>
    <row r="8" customFormat="false" ht="15" hidden="false" customHeight="true" outlineLevel="0" collapsed="false">
      <c r="A8" s="18" t="s">
        <v>150</v>
      </c>
      <c r="B8" s="18" t="s">
        <v>27</v>
      </c>
      <c r="C8" s="19" t="n">
        <v>1670</v>
      </c>
      <c r="D8" s="20" t="n">
        <f aca="false">C8*100/SUM($C$7:$C$14)</f>
        <v>17.8304505658766</v>
      </c>
      <c r="E8" s="20" t="n">
        <f aca="false">C8*100/$B$1</f>
        <v>19.304126690556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660.232558139535</v>
      </c>
      <c r="G8" s="14" t="n">
        <f aca="false">F8*100/$B$1</f>
        <v>7.63186404045237</v>
      </c>
    </row>
    <row r="9" customFormat="false" ht="15" hidden="false" customHeight="true" outlineLevel="0" collapsed="false">
      <c r="A9" s="18" t="s">
        <v>151</v>
      </c>
      <c r="B9" s="18" t="s">
        <v>27</v>
      </c>
      <c r="C9" s="19" t="n">
        <v>1624</v>
      </c>
      <c r="D9" s="20" t="n">
        <f aca="false">C9*100/SUM($C$7:$C$14)</f>
        <v>17.339312406577</v>
      </c>
      <c r="E9" s="20" t="n">
        <f aca="false">C9*100/$B$1</f>
        <v>18.7723962547682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642.046511627907</v>
      </c>
      <c r="G9" s="14" t="n">
        <f aca="false">F9*100/$B$1</f>
        <v>7.42164503095488</v>
      </c>
    </row>
    <row r="10" customFormat="false" ht="15" hidden="false" customHeight="true" outlineLevel="0" collapsed="false">
      <c r="A10" s="12" t="s">
        <v>152</v>
      </c>
      <c r="B10" s="12" t="s">
        <v>15</v>
      </c>
      <c r="C10" s="13" t="n">
        <v>1336</v>
      </c>
      <c r="D10" s="14" t="n">
        <f aca="false">C10*100/SUM($C$7:$C$14)</f>
        <v>14.2643604527013</v>
      </c>
      <c r="E10" s="14" t="n">
        <f aca="false">C10*100/$B$1</f>
        <v>15.4433013524448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873.538461538462</v>
      </c>
      <c r="G10" s="14" t="n">
        <f aca="false">F10*100/$B$1</f>
        <v>10.0975431919831</v>
      </c>
    </row>
    <row r="11" customFormat="false" ht="27.75" hidden="false" customHeight="true" outlineLevel="0" collapsed="false">
      <c r="A11" s="12" t="s">
        <v>153</v>
      </c>
      <c r="B11" s="12" t="s">
        <v>15</v>
      </c>
      <c r="C11" s="13" t="n">
        <v>1080</v>
      </c>
      <c r="D11" s="14" t="n">
        <f aca="false">C11*100/SUM($C$7:$C$14)</f>
        <v>11.531069827034</v>
      </c>
      <c r="E11" s="14" t="n">
        <f aca="false">C11*100/$B$1</f>
        <v>12.4841058837129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706.153846153846</v>
      </c>
      <c r="G11" s="14" t="n">
        <f aca="false">F11*100/$B$1</f>
        <v>8.1626846162738</v>
      </c>
    </row>
    <row r="12" customFormat="false" ht="27.75" hidden="false" customHeight="true" outlineLevel="0" collapsed="false">
      <c r="A12" s="12" t="s">
        <v>154</v>
      </c>
      <c r="B12" s="12" t="s">
        <v>15</v>
      </c>
      <c r="C12" s="13" t="n">
        <v>1010</v>
      </c>
      <c r="D12" s="14" t="n">
        <f aca="false">C12*100/SUM($C$7:$C$14)</f>
        <v>10.783685671578</v>
      </c>
      <c r="E12" s="14" t="n">
        <f aca="false">C12*100/$B$1</f>
        <v>11.6749508727315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660.384615384615</v>
      </c>
      <c r="G12" s="14" t="n">
        <f aca="false">F12*100/$B$1</f>
        <v>7.63362172447827</v>
      </c>
    </row>
    <row r="13" customFormat="false" ht="15" hidden="false" customHeight="true" outlineLevel="0" collapsed="false">
      <c r="A13" s="15" t="s">
        <v>155</v>
      </c>
      <c r="B13" s="15" t="s">
        <v>17</v>
      </c>
      <c r="C13" s="16" t="n">
        <v>536</v>
      </c>
      <c r="D13" s="17" t="n">
        <f aca="false">C13*100/SUM($C$7:$C$14)</f>
        <v>5.72282724749092</v>
      </c>
      <c r="E13" s="17" t="n">
        <f aca="false">C13*100/$B$1</f>
        <v>6.1958155126575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1273</v>
      </c>
      <c r="G13" s="23" t="n">
        <f aca="false">F13*100/$B$1</f>
        <v>14.7150618425616</v>
      </c>
    </row>
    <row r="14" customFormat="false" ht="15" hidden="false" customHeight="true" outlineLevel="0" collapsed="false">
      <c r="A14" s="12" t="s">
        <v>156</v>
      </c>
      <c r="B14" s="12" t="s">
        <v>19</v>
      </c>
      <c r="C14" s="13" t="n">
        <v>303</v>
      </c>
      <c r="D14" s="14" t="n">
        <f aca="false">C14*100/SUM($C$7:$C$14)</f>
        <v>3.23510570147341</v>
      </c>
      <c r="E14" s="14" t="n">
        <f aca="false">C14*100/$B$1</f>
        <v>3.50248526181944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424.2</v>
      </c>
      <c r="G14" s="14" t="n">
        <f aca="false">F14*100/$B$1</f>
        <v>4.90347936654722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31" activeCellId="0" sqref="B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3284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0.3276</v>
      </c>
    </row>
    <row r="4" customFormat="false" ht="15" hidden="false" customHeight="true" outlineLevel="0" collapsed="false">
      <c r="A4" s="3" t="s">
        <v>3</v>
      </c>
      <c r="B4" s="6" t="n">
        <v>3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157</v>
      </c>
      <c r="B7" s="12" t="s">
        <v>13</v>
      </c>
      <c r="C7" s="13" t="n">
        <v>224</v>
      </c>
      <c r="D7" s="14" t="n">
        <f aca="false">C7*100/SUM($C$7:$C$10)</f>
        <v>20.8760484622554</v>
      </c>
      <c r="E7" s="14" t="n">
        <f aca="false">C7*100/$B$1</f>
        <v>6.82095006090134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88.5581395348837</v>
      </c>
      <c r="G7" s="14" t="n">
        <f aca="false">F7*100/$B$1</f>
        <v>2.69665467524006</v>
      </c>
    </row>
    <row r="8" customFormat="false" ht="15" hidden="false" customHeight="true" outlineLevel="0" collapsed="false">
      <c r="A8" s="18" t="s">
        <v>158</v>
      </c>
      <c r="B8" s="18" t="s">
        <v>15</v>
      </c>
      <c r="C8" s="19" t="n">
        <v>479</v>
      </c>
      <c r="D8" s="20" t="n">
        <f aca="false">C8*100/SUM($C$7:$C$10)</f>
        <v>44.641192917055</v>
      </c>
      <c r="E8" s="20" t="n">
        <f aca="false">C8*100/$B$1</f>
        <v>14.5858708891596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313.192307692308</v>
      </c>
      <c r="G8" s="14" t="n">
        <f aca="false">F8*100/$B$1</f>
        <v>9.53691558137356</v>
      </c>
    </row>
    <row r="9" customFormat="false" ht="15" hidden="false" customHeight="true" outlineLevel="0" collapsed="false">
      <c r="A9" s="15" t="s">
        <v>159</v>
      </c>
      <c r="B9" s="15" t="s">
        <v>17</v>
      </c>
      <c r="C9" s="16" t="n">
        <v>47</v>
      </c>
      <c r="D9" s="17" t="n">
        <f aca="false">C9*100/SUM($C$7:$C$10)</f>
        <v>4.38024231127679</v>
      </c>
      <c r="E9" s="17" t="n">
        <f aca="false">C9*100/$B$1</f>
        <v>1.43118148599269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111.625</v>
      </c>
      <c r="G9" s="17" t="n">
        <f aca="false">F9*100/$B$1</f>
        <v>3.39905602923264</v>
      </c>
    </row>
    <row r="10" customFormat="false" ht="15" hidden="false" customHeight="true" outlineLevel="0" collapsed="false">
      <c r="A10" s="12" t="s">
        <v>160</v>
      </c>
      <c r="B10" s="12" t="s">
        <v>19</v>
      </c>
      <c r="C10" s="13" t="n">
        <v>323</v>
      </c>
      <c r="D10" s="14" t="n">
        <f aca="false">C10*100/SUM($C$7:$C$10)</f>
        <v>30.1025163094129</v>
      </c>
      <c r="E10" s="14" t="n">
        <f aca="false">C10*100/$B$1</f>
        <v>9.83556638246041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452.2</v>
      </c>
      <c r="G10" s="20" t="n">
        <f aca="false">F10*100/$B$1</f>
        <v>13.7697929354446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0.319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161</v>
      </c>
      <c r="B7" s="18" t="s">
        <v>27</v>
      </c>
      <c r="C7" s="19" t="n">
        <v>1774</v>
      </c>
      <c r="D7" s="20" t="n">
        <f aca="false">C7*100/SUM($C$7:$C$15)</f>
        <v>18.8362709704821</v>
      </c>
      <c r="E7" s="20" t="n">
        <f aca="false">C7*100/$B$1</f>
        <v>17.0282203877904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701.348837209302</v>
      </c>
      <c r="G7" s="14" t="n">
        <f aca="false">F7*100/$B$1</f>
        <v>6.73208713005666</v>
      </c>
    </row>
    <row r="8" customFormat="false" ht="15" hidden="false" customHeight="true" outlineLevel="0" collapsed="false">
      <c r="A8" s="18" t="s">
        <v>162</v>
      </c>
      <c r="B8" s="18" t="s">
        <v>27</v>
      </c>
      <c r="C8" s="19" t="n">
        <v>1758</v>
      </c>
      <c r="D8" s="20" t="n">
        <f aca="false">C8*100/SUM($C$7:$C$15)</f>
        <v>18.6663835209174</v>
      </c>
      <c r="E8" s="20" t="n">
        <f aca="false">C8*100/$B$1</f>
        <v>16.8746400460741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695.023255813954</v>
      </c>
      <c r="G8" s="14" t="n">
        <f aca="false">F8*100/$B$1</f>
        <v>6.67136932054092</v>
      </c>
    </row>
    <row r="9" customFormat="false" ht="15" hidden="false" customHeight="true" outlineLevel="0" collapsed="false">
      <c r="A9" s="18" t="s">
        <v>163</v>
      </c>
      <c r="B9" s="18" t="s">
        <v>27</v>
      </c>
      <c r="C9" s="19" t="n">
        <v>1682</v>
      </c>
      <c r="D9" s="20" t="n">
        <f aca="false">C9*100/SUM($C$7:$C$15)</f>
        <v>17.8594181354852</v>
      </c>
      <c r="E9" s="20" t="n">
        <f aca="false">C9*100/$B$1</f>
        <v>16.1451334229219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664.976744186047</v>
      </c>
      <c r="G9" s="14" t="n">
        <f aca="false">F9*100/$B$1</f>
        <v>6.3829597253412</v>
      </c>
    </row>
    <row r="10" customFormat="false" ht="15" hidden="false" customHeight="true" outlineLevel="0" collapsed="false">
      <c r="A10" s="12" t="s">
        <v>164</v>
      </c>
      <c r="B10" s="12" t="s">
        <v>15</v>
      </c>
      <c r="C10" s="13" t="n">
        <v>1202</v>
      </c>
      <c r="D10" s="14" t="n">
        <f aca="false">C10*100/SUM($C$7:$C$15)</f>
        <v>12.7627946485453</v>
      </c>
      <c r="E10" s="14" t="n">
        <f aca="false">C10*100/$B$1</f>
        <v>11.5377231714341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785.923076923077</v>
      </c>
      <c r="G10" s="14" t="n">
        <f aca="false">F10*100/$B$1</f>
        <v>7.54389591978381</v>
      </c>
    </row>
    <row r="11" customFormat="false" ht="15" hidden="false" customHeight="true" outlineLevel="0" collapsed="false">
      <c r="A11" s="12" t="s">
        <v>165</v>
      </c>
      <c r="B11" s="12" t="s">
        <v>15</v>
      </c>
      <c r="C11" s="13" t="n">
        <v>1078</v>
      </c>
      <c r="D11" s="14" t="n">
        <f aca="false">C11*100/SUM($C$7:$C$15)</f>
        <v>11.4461669144192</v>
      </c>
      <c r="E11" s="14" t="n">
        <f aca="false">C11*100/$B$1</f>
        <v>10.347475523133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704.846153846154</v>
      </c>
      <c r="G11" s="14" t="n">
        <f aca="false">F11*100/$B$1</f>
        <v>6.76565707281776</v>
      </c>
    </row>
    <row r="12" customFormat="false" ht="27.75" hidden="false" customHeight="true" outlineLevel="0" collapsed="false">
      <c r="A12" s="12" t="s">
        <v>166</v>
      </c>
      <c r="B12" s="12" t="s">
        <v>15</v>
      </c>
      <c r="C12" s="13" t="n">
        <v>1069</v>
      </c>
      <c r="D12" s="14" t="n">
        <f aca="false">C12*100/SUM($C$7:$C$15)</f>
        <v>11.3506052240391</v>
      </c>
      <c r="E12" s="14" t="n">
        <f aca="false">C12*100/$B$1</f>
        <v>10.2610865809176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698.961538461539</v>
      </c>
      <c r="G12" s="14" t="n">
        <f aca="false">F12*100/$B$1</f>
        <v>6.70917199521538</v>
      </c>
    </row>
    <row r="13" customFormat="false" ht="15" hidden="false" customHeight="true" outlineLevel="0" collapsed="false">
      <c r="A13" s="15" t="s">
        <v>167</v>
      </c>
      <c r="B13" s="15" t="s">
        <v>17</v>
      </c>
      <c r="C13" s="16" t="n">
        <v>393</v>
      </c>
      <c r="D13" s="17" t="n">
        <f aca="false">C13*100/SUM($C$7:$C$15)</f>
        <v>4.17286047993205</v>
      </c>
      <c r="E13" s="17" t="n">
        <f aca="false">C13*100/$B$1</f>
        <v>3.77231714340564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933.375</v>
      </c>
      <c r="G13" s="23" t="n">
        <f aca="false">F13*100/$B$1</f>
        <v>8.9592532155884</v>
      </c>
    </row>
    <row r="14" customFormat="false" ht="15" hidden="false" customHeight="true" outlineLevel="0" collapsed="false">
      <c r="A14" s="12" t="s">
        <v>168</v>
      </c>
      <c r="B14" s="12" t="s">
        <v>19</v>
      </c>
      <c r="C14" s="13" t="n">
        <v>245</v>
      </c>
      <c r="D14" s="14" t="n">
        <f aca="false">C14*100/SUM($C$7:$C$15)</f>
        <v>2.60140157145891</v>
      </c>
      <c r="E14" s="14" t="n">
        <f aca="false">C14*100/$B$1</f>
        <v>2.35169898253024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343</v>
      </c>
      <c r="G14" s="14" t="n">
        <f aca="false">F14*100/$B$1</f>
        <v>3.29237857554233</v>
      </c>
    </row>
    <row r="15" customFormat="false" ht="15" hidden="false" customHeight="true" outlineLevel="0" collapsed="false">
      <c r="A15" s="12" t="s">
        <v>169</v>
      </c>
      <c r="B15" s="12" t="s">
        <v>170</v>
      </c>
      <c r="C15" s="13" t="n">
        <v>217</v>
      </c>
      <c r="D15" s="14" t="n">
        <f aca="false">C15*100/SUM($C$7:$C$15)</f>
        <v>2.30409853472075</v>
      </c>
      <c r="E15" s="14" t="n">
        <f aca="false">C15*100/$B$1</f>
        <v>2.08293338452678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248</v>
      </c>
      <c r="G15" s="14" t="n">
        <f aca="false">F15*100/$B$1</f>
        <v>2.38049529660203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8" activeCellId="0" sqref="B28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0.2791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51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171</v>
      </c>
      <c r="B7" s="12" t="s">
        <v>13</v>
      </c>
      <c r="C7" s="13" t="n">
        <v>849</v>
      </c>
      <c r="D7" s="14" t="n">
        <f aca="false">C7*100/SUM($C$7:$C$16)</f>
        <v>10.7823215646431</v>
      </c>
      <c r="E7" s="14" t="n">
        <f aca="false">C7*100/$B$1</f>
        <v>8.30886670581327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335.651162790698</v>
      </c>
      <c r="G7" s="14" t="n">
        <f aca="false">F7*100/$B$1</f>
        <v>3.28490079067036</v>
      </c>
    </row>
    <row r="8" customFormat="false" ht="15" hidden="false" customHeight="true" outlineLevel="0" collapsed="false">
      <c r="A8" s="12" t="s">
        <v>172</v>
      </c>
      <c r="B8" s="12" t="s">
        <v>13</v>
      </c>
      <c r="C8" s="13" t="n">
        <v>786</v>
      </c>
      <c r="D8" s="14" t="n">
        <f aca="false">C8*100/SUM($C$7:$C$16)</f>
        <v>9.98221996443993</v>
      </c>
      <c r="E8" s="14" t="n">
        <f aca="false">C8*100/$B$1</f>
        <v>7.69230769230769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310.744186046512</v>
      </c>
      <c r="G8" s="14" t="n">
        <f aca="false">F8*100/$B$1</f>
        <v>3.04114490161002</v>
      </c>
    </row>
    <row r="9" customFormat="false" ht="15" hidden="false" customHeight="true" outlineLevel="0" collapsed="false">
      <c r="A9" s="12" t="s">
        <v>173</v>
      </c>
      <c r="B9" s="12" t="s">
        <v>13</v>
      </c>
      <c r="C9" s="13" t="n">
        <v>742</v>
      </c>
      <c r="D9" s="14" t="n">
        <f aca="false">C9*100/SUM($C$7:$C$16)</f>
        <v>9.42341884683769</v>
      </c>
      <c r="E9" s="14" t="n">
        <f aca="false">C9*100/$B$1</f>
        <v>7.26169504795459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293.348837209302</v>
      </c>
      <c r="G9" s="14" t="n">
        <f aca="false">F9*100/$B$1</f>
        <v>2.8709026933774</v>
      </c>
    </row>
    <row r="10" customFormat="false" ht="15" hidden="false" customHeight="true" outlineLevel="0" collapsed="false">
      <c r="A10" s="18" t="s">
        <v>174</v>
      </c>
      <c r="B10" s="18" t="s">
        <v>15</v>
      </c>
      <c r="C10" s="19" t="n">
        <v>1458</v>
      </c>
      <c r="D10" s="20" t="n">
        <f aca="false">C10*100/SUM($C$7:$C$16)</f>
        <v>18.5166370332741</v>
      </c>
      <c r="E10" s="20" t="n">
        <f aca="false">C10*100/$B$1</f>
        <v>14.2689371697005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953.307692307692</v>
      </c>
      <c r="G10" s="20" t="n">
        <f aca="false">F10*100/$B$1</f>
        <v>9.32968968788111</v>
      </c>
    </row>
    <row r="11" customFormat="false" ht="15" hidden="false" customHeight="true" outlineLevel="0" collapsed="false">
      <c r="A11" s="18" t="s">
        <v>175</v>
      </c>
      <c r="B11" s="18" t="s">
        <v>15</v>
      </c>
      <c r="C11" s="19" t="n">
        <v>1446</v>
      </c>
      <c r="D11" s="20" t="n">
        <f aca="false">C11*100/SUM($C$7:$C$16)</f>
        <v>18.3642367284735</v>
      </c>
      <c r="E11" s="20" t="n">
        <f aca="false">C11*100/$B$1</f>
        <v>14.1514973576042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945.461538461539</v>
      </c>
      <c r="G11" s="20" t="n">
        <f aca="false">F11*100/$B$1</f>
        <v>9.25290211843353</v>
      </c>
    </row>
    <row r="12" customFormat="false" ht="15" hidden="false" customHeight="true" outlineLevel="0" collapsed="false">
      <c r="A12" s="18" t="s">
        <v>176</v>
      </c>
      <c r="B12" s="18" t="s">
        <v>15</v>
      </c>
      <c r="C12" s="19" t="n">
        <v>1409</v>
      </c>
      <c r="D12" s="20" t="n">
        <f aca="false">C12*100/SUM($C$7:$C$16)</f>
        <v>17.8943357886716</v>
      </c>
      <c r="E12" s="20" t="n">
        <f aca="false">C12*100/$B$1</f>
        <v>13.7893912703073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921.269230769231</v>
      </c>
      <c r="G12" s="20" t="n">
        <f aca="false">F12*100/$B$1</f>
        <v>9.01614044597016</v>
      </c>
    </row>
    <row r="13" customFormat="false" ht="15" hidden="false" customHeight="true" outlineLevel="0" collapsed="false">
      <c r="A13" s="15" t="s">
        <v>177</v>
      </c>
      <c r="B13" s="15" t="s">
        <v>17</v>
      </c>
      <c r="C13" s="16" t="n">
        <v>379</v>
      </c>
      <c r="D13" s="17" t="n">
        <f aca="false">C13*100/SUM($C$7:$C$16)</f>
        <v>4.81330962661925</v>
      </c>
      <c r="E13" s="17" t="n">
        <f aca="false">C13*100/$B$1</f>
        <v>3.7091407320415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900.125</v>
      </c>
      <c r="G13" s="17" t="n">
        <f aca="false">F13*100/$B$1</f>
        <v>8.80920923859855</v>
      </c>
    </row>
    <row r="14" customFormat="false" ht="15" hidden="false" customHeight="true" outlineLevel="0" collapsed="false">
      <c r="A14" s="12" t="s">
        <v>178</v>
      </c>
      <c r="B14" s="12" t="s">
        <v>19</v>
      </c>
      <c r="C14" s="13" t="n">
        <v>304</v>
      </c>
      <c r="D14" s="14" t="n">
        <f aca="false">C14*100/SUM($C$7:$C$16)</f>
        <v>3.86080772161544</v>
      </c>
      <c r="E14" s="14" t="n">
        <f aca="false">C14*100/$B$1</f>
        <v>2.97514190643962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425.6</v>
      </c>
      <c r="G14" s="14" t="n">
        <f aca="false">F14*100/$B$1</f>
        <v>4.16519866901546</v>
      </c>
    </row>
    <row r="15" customFormat="false" ht="15" hidden="false" customHeight="true" outlineLevel="0" collapsed="false">
      <c r="A15" s="12" t="s">
        <v>179</v>
      </c>
      <c r="B15" s="12" t="s">
        <v>19</v>
      </c>
      <c r="C15" s="13" t="n">
        <v>282</v>
      </c>
      <c r="D15" s="14" t="n">
        <f aca="false">C15*100/SUM($C$7:$C$16)</f>
        <v>3.58140716281433</v>
      </c>
      <c r="E15" s="14" t="n">
        <f aca="false">C15*100/$B$1</f>
        <v>2.75983558426307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394.8</v>
      </c>
      <c r="G15" s="14" t="n">
        <f aca="false">F15*100/$B$1</f>
        <v>3.86376981796829</v>
      </c>
    </row>
    <row r="16" customFormat="false" ht="15" hidden="false" customHeight="true" outlineLevel="0" collapsed="false">
      <c r="A16" s="12" t="s">
        <v>180</v>
      </c>
      <c r="B16" s="12" t="s">
        <v>19</v>
      </c>
      <c r="C16" s="13" t="n">
        <v>219</v>
      </c>
      <c r="D16" s="14" t="n">
        <f aca="false">C16*100/SUM($C$7:$C$16)</f>
        <v>2.78130556261113</v>
      </c>
      <c r="E16" s="14" t="n">
        <f aca="false">C16*100/$B$1</f>
        <v>2.14327657075749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306.6</v>
      </c>
      <c r="G16" s="14" t="n">
        <f aca="false">F16*100/$B$1</f>
        <v>3.00058719906048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B30" activeCellId="0" sqref="B30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10150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0.2617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181</v>
      </c>
      <c r="B7" s="18" t="s">
        <v>27</v>
      </c>
      <c r="C7" s="19" t="n">
        <v>1338</v>
      </c>
      <c r="D7" s="20" t="n">
        <f aca="false">C7*100/SUM($C$7:$C$15)</f>
        <v>18.1448331977217</v>
      </c>
      <c r="E7" s="20" t="n">
        <f aca="false">C7*100/$B$1</f>
        <v>13.1822660098522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528.976744186047</v>
      </c>
      <c r="G7" s="14" t="n">
        <f aca="false">F7*100/$B$1</f>
        <v>5.21159353877878</v>
      </c>
    </row>
    <row r="8" customFormat="false" ht="15" hidden="false" customHeight="true" outlineLevel="0" collapsed="false">
      <c r="A8" s="18" t="s">
        <v>182</v>
      </c>
      <c r="B8" s="18" t="s">
        <v>27</v>
      </c>
      <c r="C8" s="19" t="n">
        <v>1291</v>
      </c>
      <c r="D8" s="20" t="n">
        <f aca="false">C8*100/SUM($C$7:$C$15)</f>
        <v>17.5074586384595</v>
      </c>
      <c r="E8" s="20" t="n">
        <f aca="false">C8*100/$B$1</f>
        <v>12.7192118226601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510.395348837209</v>
      </c>
      <c r="G8" s="14" t="n">
        <f aca="false">F8*100/$B$1</f>
        <v>5.02852560430748</v>
      </c>
    </row>
    <row r="9" customFormat="false" ht="15" hidden="false" customHeight="true" outlineLevel="0" collapsed="false">
      <c r="A9" s="18" t="s">
        <v>183</v>
      </c>
      <c r="B9" s="18" t="s">
        <v>27</v>
      </c>
      <c r="C9" s="19" t="n">
        <v>1236</v>
      </c>
      <c r="D9" s="20" t="n">
        <f aca="false">C9*100/SUM($C$7:$C$15)</f>
        <v>16.7615947925142</v>
      </c>
      <c r="E9" s="20" t="n">
        <f aca="false">C9*100/$B$1</f>
        <v>12.1773399014778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488.651162790698</v>
      </c>
      <c r="G9" s="14" t="n">
        <f aca="false">F9*100/$B$1</f>
        <v>4.8142971703517</v>
      </c>
    </row>
    <row r="10" customFormat="false" ht="27.75" hidden="false" customHeight="true" outlineLevel="0" collapsed="false">
      <c r="A10" s="12" t="s">
        <v>184</v>
      </c>
      <c r="B10" s="12" t="s">
        <v>15</v>
      </c>
      <c r="C10" s="13" t="n">
        <v>991</v>
      </c>
      <c r="D10" s="14" t="n">
        <f aca="false">C10*100/SUM($C$7:$C$15)</f>
        <v>13.4391103878492</v>
      </c>
      <c r="E10" s="14" t="n">
        <f aca="false">C10*100/$B$1</f>
        <v>9.76354679802956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647.961538461539</v>
      </c>
      <c r="G10" s="20" t="n">
        <f aca="false">F10*100/$B$1</f>
        <v>6.38385752178856</v>
      </c>
    </row>
    <row r="11" customFormat="false" ht="27.75" hidden="false" customHeight="true" outlineLevel="0" collapsed="false">
      <c r="A11" s="12" t="s">
        <v>185</v>
      </c>
      <c r="B11" s="12" t="s">
        <v>15</v>
      </c>
      <c r="C11" s="13" t="n">
        <v>972</v>
      </c>
      <c r="D11" s="14" t="n">
        <f aca="false">C11*100/SUM($C$7:$C$15)</f>
        <v>13.1814483319772</v>
      </c>
      <c r="E11" s="14" t="n">
        <f aca="false">C11*100/$B$1</f>
        <v>9.57635467980296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635.538461538462</v>
      </c>
      <c r="G11" s="20" t="n">
        <f aca="false">F11*100/$B$1</f>
        <v>6.26146267525578</v>
      </c>
    </row>
    <row r="12" customFormat="false" ht="27.75" hidden="false" customHeight="true" outlineLevel="0" collapsed="false">
      <c r="A12" s="12" t="s">
        <v>186</v>
      </c>
      <c r="B12" s="12" t="s">
        <v>15</v>
      </c>
      <c r="C12" s="13" t="n">
        <v>970</v>
      </c>
      <c r="D12" s="14" t="n">
        <f aca="false">C12*100/SUM($C$7:$C$15)</f>
        <v>13.1543260103065</v>
      </c>
      <c r="E12" s="14" t="n">
        <f aca="false">C12*100/$B$1</f>
        <v>9.55665024630542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634.230769230769</v>
      </c>
      <c r="G12" s="20" t="n">
        <f aca="false">F12*100/$B$1</f>
        <v>6.2485790071997</v>
      </c>
    </row>
    <row r="13" customFormat="false" ht="15" hidden="false" customHeight="true" outlineLevel="0" collapsed="false">
      <c r="A13" s="15" t="s">
        <v>187</v>
      </c>
      <c r="B13" s="15" t="s">
        <v>17</v>
      </c>
      <c r="C13" s="16" t="n">
        <v>262</v>
      </c>
      <c r="D13" s="17" t="n">
        <f aca="false">C13*100/SUM($C$7:$C$15)</f>
        <v>3.55302413886629</v>
      </c>
      <c r="E13" s="17" t="n">
        <f aca="false">C13*100/$B$1</f>
        <v>2.58128078817734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622.25</v>
      </c>
      <c r="G13" s="17" t="n">
        <f aca="false">F13*100/$B$1</f>
        <v>6.13054187192118</v>
      </c>
    </row>
    <row r="14" customFormat="false" ht="15" hidden="false" customHeight="true" outlineLevel="0" collapsed="false">
      <c r="A14" s="12" t="s">
        <v>188</v>
      </c>
      <c r="B14" s="12" t="s">
        <v>19</v>
      </c>
      <c r="C14" s="13" t="n">
        <v>159</v>
      </c>
      <c r="D14" s="14" t="n">
        <f aca="false">C14*100/SUM($C$7:$C$15)</f>
        <v>2.15622457282343</v>
      </c>
      <c r="E14" s="14" t="n">
        <f aca="false">C14*100/$B$1</f>
        <v>1.56650246305419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222.6</v>
      </c>
      <c r="G14" s="14" t="n">
        <f aca="false">F14*100/$B$1</f>
        <v>2.19310344827586</v>
      </c>
    </row>
    <row r="15" customFormat="false" ht="27.75" hidden="false" customHeight="true" outlineLevel="0" collapsed="false">
      <c r="A15" s="12" t="s">
        <v>189</v>
      </c>
      <c r="B15" s="12" t="s">
        <v>23</v>
      </c>
      <c r="C15" s="13" t="n">
        <v>155</v>
      </c>
      <c r="D15" s="14" t="n">
        <f aca="false">C15*100/SUM($C$7:$C$15)</f>
        <v>2.10197992948196</v>
      </c>
      <c r="E15" s="14" t="n">
        <f aca="false">C15*100/$B$1</f>
        <v>1.52709359605911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177.142857142857</v>
      </c>
      <c r="G15" s="14" t="n">
        <f aca="false">F15*100/$B$1</f>
        <v>1.74524982406756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1" activeCellId="0" sqref="D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7120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0.241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190</v>
      </c>
      <c r="B7" s="18" t="s">
        <v>27</v>
      </c>
      <c r="C7" s="19" t="n">
        <v>967</v>
      </c>
      <c r="D7" s="20" t="n">
        <f aca="false">C7*100/SUM($C$7:$C$12)</f>
        <v>30.21875</v>
      </c>
      <c r="E7" s="20" t="n">
        <f aca="false">C7*100/$B$1</f>
        <v>13.5814606741573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382.302325581395</v>
      </c>
      <c r="G7" s="14" t="n">
        <f aca="false">F7*100/$B$1</f>
        <v>5.36941468513196</v>
      </c>
    </row>
    <row r="8" customFormat="false" ht="15" hidden="false" customHeight="true" outlineLevel="0" collapsed="false">
      <c r="A8" s="18" t="s">
        <v>191</v>
      </c>
      <c r="B8" s="18" t="s">
        <v>27</v>
      </c>
      <c r="C8" s="19" t="n">
        <v>869</v>
      </c>
      <c r="D8" s="20" t="n">
        <f aca="false">C8*100/SUM($C$7:$C$12)</f>
        <v>27.15625</v>
      </c>
      <c r="E8" s="20" t="n">
        <f aca="false">C8*100/$B$1</f>
        <v>12.2050561797753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343.558139534884</v>
      </c>
      <c r="G8" s="14" t="n">
        <f aca="false">F8*100/$B$1</f>
        <v>4.82525476874837</v>
      </c>
    </row>
    <row r="9" customFormat="false" ht="15" hidden="false" customHeight="true" outlineLevel="0" collapsed="false">
      <c r="A9" s="12" t="s">
        <v>192</v>
      </c>
      <c r="B9" s="12" t="s">
        <v>59</v>
      </c>
      <c r="C9" s="13" t="n">
        <v>502</v>
      </c>
      <c r="D9" s="14" t="n">
        <f aca="false">C9*100/SUM($C$7:$C$12)</f>
        <v>15.6875</v>
      </c>
      <c r="E9" s="14" t="n">
        <f aca="false">C9*100/$B$1</f>
        <v>7.05056179775281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328.230769230769</v>
      </c>
      <c r="G9" s="14" t="n">
        <f aca="false">F9*100/$B$1</f>
        <v>4.6099827139153</v>
      </c>
    </row>
    <row r="10" customFormat="false" ht="15" hidden="false" customHeight="true" outlineLevel="0" collapsed="false">
      <c r="A10" s="12" t="s">
        <v>193</v>
      </c>
      <c r="B10" s="12" t="s">
        <v>59</v>
      </c>
      <c r="C10" s="13" t="n">
        <v>489</v>
      </c>
      <c r="D10" s="14" t="n">
        <f aca="false">C10*100/SUM($C$7:$C$12)</f>
        <v>15.28125</v>
      </c>
      <c r="E10" s="14" t="n">
        <f aca="false">C10*100/$B$1</f>
        <v>6.86797752808989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319.730769230769</v>
      </c>
      <c r="G10" s="14" t="n">
        <f aca="false">F10*100/$B$1</f>
        <v>4.49060069144339</v>
      </c>
    </row>
    <row r="11" customFormat="false" ht="27.75" hidden="false" customHeight="true" outlineLevel="0" collapsed="false">
      <c r="A11" s="15" t="s">
        <v>194</v>
      </c>
      <c r="B11" s="15" t="s">
        <v>17</v>
      </c>
      <c r="C11" s="16" t="n">
        <v>222</v>
      </c>
      <c r="D11" s="17" t="n">
        <f aca="false">C11*100/SUM($C$7:$C$12)</f>
        <v>6.9375</v>
      </c>
      <c r="E11" s="17" t="n">
        <f aca="false">C11*100/$B$1</f>
        <v>3.11797752808989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527.25</v>
      </c>
      <c r="G11" s="23" t="n">
        <f aca="false">F11*100/$B$1</f>
        <v>7.40519662921348</v>
      </c>
    </row>
    <row r="12" customFormat="false" ht="15" hidden="false" customHeight="true" outlineLevel="0" collapsed="false">
      <c r="A12" s="12" t="s">
        <v>195</v>
      </c>
      <c r="B12" s="12" t="s">
        <v>19</v>
      </c>
      <c r="C12" s="13" t="n">
        <v>151</v>
      </c>
      <c r="D12" s="14" t="n">
        <f aca="false">C12*100/SUM($C$7:$C$12)</f>
        <v>4.71875</v>
      </c>
      <c r="E12" s="14" t="n">
        <f aca="false">C12*100/$B$1</f>
        <v>2.12078651685393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211.4</v>
      </c>
      <c r="G12" s="14" t="n">
        <f aca="false">F12*100/$B$1</f>
        <v>2.96910112359551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0.3255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59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8" t="s">
        <v>196</v>
      </c>
      <c r="B7" s="18" t="s">
        <v>27</v>
      </c>
      <c r="C7" s="19" t="n">
        <v>1998</v>
      </c>
      <c r="D7" s="20" t="n">
        <f aca="false">C7*100/SUM($C$7:$C$14)</f>
        <v>21.999559568377</v>
      </c>
      <c r="E7" s="20" t="n">
        <f aca="false">C7*100/$B$1</f>
        <v>19.6866686373042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789.906976744186</v>
      </c>
      <c r="G7" s="14" t="n">
        <f aca="false">F7*100/$B$1</f>
        <v>7.78310155428304</v>
      </c>
    </row>
    <row r="8" customFormat="false" ht="15" hidden="false" customHeight="true" outlineLevel="0" collapsed="false">
      <c r="A8" s="18" t="s">
        <v>197</v>
      </c>
      <c r="B8" s="18" t="s">
        <v>27</v>
      </c>
      <c r="C8" s="19" t="n">
        <v>1977</v>
      </c>
      <c r="D8" s="20" t="n">
        <f aca="false">C8*100/SUM($C$7:$C$14)</f>
        <v>21.768332966307</v>
      </c>
      <c r="E8" s="20" t="n">
        <f aca="false">C8*100/$B$1</f>
        <v>19.4797516996748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781.604651162791</v>
      </c>
      <c r="G8" s="14" t="n">
        <f aca="false">F8*100/$B$1</f>
        <v>7.70129718359238</v>
      </c>
    </row>
    <row r="9" customFormat="false" ht="15" hidden="false" customHeight="true" outlineLevel="0" collapsed="false">
      <c r="A9" s="18" t="s">
        <v>198</v>
      </c>
      <c r="B9" s="18" t="s">
        <v>27</v>
      </c>
      <c r="C9" s="19" t="n">
        <v>1823</v>
      </c>
      <c r="D9" s="20" t="n">
        <f aca="false">C9*100/SUM($C$7:$C$14)</f>
        <v>20.0726712177934</v>
      </c>
      <c r="E9" s="20" t="n">
        <f aca="false">C9*100/$B$1</f>
        <v>17.9623608237265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720.720930232558</v>
      </c>
      <c r="G9" s="14" t="n">
        <f aca="false">F9*100/$B$1</f>
        <v>7.10139846519419</v>
      </c>
    </row>
    <row r="10" customFormat="false" ht="15" hidden="false" customHeight="true" outlineLevel="0" collapsed="false">
      <c r="A10" s="12" t="s">
        <v>199</v>
      </c>
      <c r="B10" s="12" t="s">
        <v>59</v>
      </c>
      <c r="C10" s="13" t="n">
        <v>985</v>
      </c>
      <c r="D10" s="14" t="n">
        <f aca="false">C10*100/SUM($C$7:$C$14)</f>
        <v>10.8456287161418</v>
      </c>
      <c r="E10" s="14" t="n">
        <f aca="false">C10*100/$B$1</f>
        <v>9.70538969356587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644.038461538462</v>
      </c>
      <c r="G10" s="14" t="n">
        <f aca="false">F10*100/$B$1</f>
        <v>6.34583172271615</v>
      </c>
    </row>
    <row r="11" customFormat="false" ht="15" hidden="false" customHeight="true" outlineLevel="0" collapsed="false">
      <c r="A11" s="12" t="s">
        <v>200</v>
      </c>
      <c r="B11" s="12" t="s">
        <v>59</v>
      </c>
      <c r="C11" s="13" t="n">
        <v>817</v>
      </c>
      <c r="D11" s="14" t="n">
        <f aca="false">C11*100/SUM($C$7:$C$14)</f>
        <v>8.99581589958159</v>
      </c>
      <c r="E11" s="14" t="n">
        <f aca="false">C11*100/$B$1</f>
        <v>8.05005419253129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534.192307692308</v>
      </c>
      <c r="G11" s="14" t="n">
        <f aca="false">F11*100/$B$1</f>
        <v>5.26349697203969</v>
      </c>
    </row>
    <row r="12" customFormat="false" ht="15" hidden="false" customHeight="true" outlineLevel="0" collapsed="false">
      <c r="A12" s="12" t="s">
        <v>201</v>
      </c>
      <c r="B12" s="12" t="s">
        <v>59</v>
      </c>
      <c r="C12" s="13" t="n">
        <v>808</v>
      </c>
      <c r="D12" s="14" t="n">
        <f aca="false">C12*100/SUM($C$7:$C$14)</f>
        <v>8.89671878440872</v>
      </c>
      <c r="E12" s="14" t="n">
        <f aca="false">C12*100/$B$1</f>
        <v>7.96137550497586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528.307692307692</v>
      </c>
      <c r="G12" s="14" t="n">
        <f aca="false">F12*100/$B$1</f>
        <v>5.20551475325345</v>
      </c>
    </row>
    <row r="13" customFormat="false" ht="15" hidden="false" customHeight="true" outlineLevel="0" collapsed="false">
      <c r="A13" s="15" t="s">
        <v>202</v>
      </c>
      <c r="B13" s="15" t="s">
        <v>17</v>
      </c>
      <c r="C13" s="16" t="n">
        <v>361</v>
      </c>
      <c r="D13" s="17" t="n">
        <f aca="false">C13*100/SUM($C$7:$C$14)</f>
        <v>3.97489539748954</v>
      </c>
      <c r="E13" s="17" t="n">
        <f aca="false">C13*100/$B$1</f>
        <v>3.55700068972313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857.375</v>
      </c>
      <c r="G13" s="23" t="n">
        <f aca="false">F13*100/$B$1</f>
        <v>8.44787663809242</v>
      </c>
    </row>
    <row r="14" customFormat="false" ht="15" hidden="false" customHeight="true" outlineLevel="0" collapsed="false">
      <c r="A14" s="12" t="s">
        <v>203</v>
      </c>
      <c r="B14" s="12" t="s">
        <v>19</v>
      </c>
      <c r="C14" s="13" t="n">
        <v>313</v>
      </c>
      <c r="D14" s="14" t="n">
        <f aca="false">C14*100/SUM($C$7:$C$14)</f>
        <v>3.4463774499009</v>
      </c>
      <c r="E14" s="14" t="n">
        <f aca="false">C14*100/$B$1</f>
        <v>3.08404768942753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438.2</v>
      </c>
      <c r="G14" s="14" t="n">
        <f aca="false">F14*100/$B$1</f>
        <v>4.31766676519854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I1" colorId="64" zoomScale="90" zoomScaleNormal="90" zoomScalePageLayoutView="100" workbookViewId="0">
      <selection pane="topLeft" activeCell="F7" activeCellId="0" sqref="F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7143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0.2729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204</v>
      </c>
      <c r="B7" s="18" t="s">
        <v>27</v>
      </c>
      <c r="C7" s="19" t="n">
        <v>986</v>
      </c>
      <c r="D7" s="20" t="n">
        <f aca="false">C7*100/SUM($C$7:$C$13)</f>
        <v>26.7063921993499</v>
      </c>
      <c r="E7" s="20" t="n">
        <f aca="false">C7*100/$B$1</f>
        <v>13.8037239255215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389.813953488372</v>
      </c>
      <c r="G7" s="14" t="n">
        <f aca="false">F7*100/$B$1</f>
        <v>5.45728620311315</v>
      </c>
    </row>
    <row r="8" customFormat="false" ht="27.75" hidden="false" customHeight="true" outlineLevel="0" collapsed="false">
      <c r="A8" s="18" t="s">
        <v>205</v>
      </c>
      <c r="B8" s="18" t="s">
        <v>27</v>
      </c>
      <c r="C8" s="19" t="n">
        <v>915</v>
      </c>
      <c r="D8" s="20" t="n">
        <f aca="false">C8*100/SUM($C$7:$C$13)</f>
        <v>24.783315276273</v>
      </c>
      <c r="E8" s="20" t="n">
        <f aca="false">C8*100/$B$1</f>
        <v>12.8097438051239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361.744186046512</v>
      </c>
      <c r="G8" s="14" t="n">
        <f aca="false">F8*100/$B$1</f>
        <v>5.0643173183048</v>
      </c>
    </row>
    <row r="9" customFormat="false" ht="15" hidden="false" customHeight="true" outlineLevel="0" collapsed="false">
      <c r="A9" s="12" t="s">
        <v>206</v>
      </c>
      <c r="B9" s="12" t="s">
        <v>15</v>
      </c>
      <c r="C9" s="13" t="n">
        <v>799</v>
      </c>
      <c r="D9" s="14" t="n">
        <f aca="false">C9*100/SUM($C$7:$C$13)</f>
        <v>21.6413867822319</v>
      </c>
      <c r="E9" s="14" t="n">
        <f aca="false">C9*100/$B$1</f>
        <v>11.1857762844743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522.423076923077</v>
      </c>
      <c r="G9" s="20" t="n">
        <f aca="false">F9*100/$B$1</f>
        <v>7.31377680138705</v>
      </c>
    </row>
    <row r="10" customFormat="false" ht="15" hidden="false" customHeight="true" outlineLevel="0" collapsed="false">
      <c r="A10" s="12" t="s">
        <v>207</v>
      </c>
      <c r="B10" s="12" t="s">
        <v>15</v>
      </c>
      <c r="C10" s="13" t="n">
        <v>689</v>
      </c>
      <c r="D10" s="14" t="n">
        <f aca="false">C10*100/SUM($C$7:$C$13)</f>
        <v>18.6619718309859</v>
      </c>
      <c r="E10" s="14" t="n">
        <f aca="false">C10*100/$B$1</f>
        <v>9.64580708385832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450.5</v>
      </c>
      <c r="G10" s="20" t="n">
        <f aca="false">F10*100/$B$1</f>
        <v>6.30687386252275</v>
      </c>
    </row>
    <row r="11" customFormat="false" ht="15" hidden="false" customHeight="true" outlineLevel="0" collapsed="false">
      <c r="A11" s="15" t="s">
        <v>208</v>
      </c>
      <c r="B11" s="15" t="s">
        <v>17</v>
      </c>
      <c r="C11" s="16" t="n">
        <v>121</v>
      </c>
      <c r="D11" s="17" t="n">
        <f aca="false">C11*100/SUM($C$7:$C$13)</f>
        <v>3.27735644637053</v>
      </c>
      <c r="E11" s="17" t="n">
        <f aca="false">C11*100/$B$1</f>
        <v>1.69396612067759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287.375</v>
      </c>
      <c r="G11" s="17" t="n">
        <f aca="false">F11*100/$B$1</f>
        <v>4.02316953660927</v>
      </c>
    </row>
    <row r="12" customFormat="false" ht="15" hidden="false" customHeight="true" outlineLevel="0" collapsed="false">
      <c r="A12" s="12" t="s">
        <v>209</v>
      </c>
      <c r="B12" s="12" t="s">
        <v>19</v>
      </c>
      <c r="C12" s="13" t="n">
        <v>108</v>
      </c>
      <c r="D12" s="14" t="n">
        <f aca="false">C12*100/SUM($C$7:$C$13)</f>
        <v>2.92524377031419</v>
      </c>
      <c r="E12" s="14" t="n">
        <f aca="false">C12*100/$B$1</f>
        <v>1.51196976060479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151.2</v>
      </c>
      <c r="G12" s="14" t="n">
        <f aca="false">F12*100/$B$1</f>
        <v>2.1167576648467</v>
      </c>
    </row>
    <row r="13" customFormat="false" ht="27.75" hidden="false" customHeight="true" outlineLevel="0" collapsed="false">
      <c r="A13" s="12" t="s">
        <v>210</v>
      </c>
      <c r="B13" s="12" t="s">
        <v>79</v>
      </c>
      <c r="C13" s="13" t="n">
        <v>74</v>
      </c>
      <c r="D13" s="14" t="n">
        <f aca="false">C13*100/SUM($C$7:$C$13)</f>
        <v>2.00433369447454</v>
      </c>
      <c r="E13" s="14" t="n">
        <f aca="false">C13*100/$B$1</f>
        <v>1.03597928041439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84.5714285714286</v>
      </c>
      <c r="G13" s="14" t="n">
        <f aca="false">F13*100/$B$1</f>
        <v>1.18397632047359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3" activeCellId="0" sqref="G3"/>
    </sheetView>
  </sheetViews>
  <sheetFormatPr defaultColWidth="8.60546875" defaultRowHeight="12.75" customHeight="false" zeroHeight="false" outlineLevelRow="0" outlineLevelCol="0"/>
  <cols>
    <col collapsed="false" customWidth="true" hidden="false" outlineLevel="0" max="12" min="12" style="24" width="9.42"/>
  </cols>
  <sheetData>
    <row r="1" customFormat="false" ht="12.75" hidden="false" customHeight="false" outlineLevel="0" collapsed="false">
      <c r="A1" s="24" t="s">
        <v>211</v>
      </c>
      <c r="G1" s="24" t="s">
        <v>212</v>
      </c>
      <c r="K1" s="24" t="s">
        <v>213</v>
      </c>
    </row>
    <row r="3" customFormat="false" ht="12.75" hidden="false" customHeight="false" outlineLevel="0" collapsed="false">
      <c r="A3" s="24" t="s">
        <v>7</v>
      </c>
      <c r="B3" s="24" t="s">
        <v>214</v>
      </c>
      <c r="G3" s="24" t="s">
        <v>7</v>
      </c>
      <c r="H3" s="24" t="s">
        <v>215</v>
      </c>
      <c r="K3" s="24" t="s">
        <v>7</v>
      </c>
      <c r="L3" s="24" t="s">
        <v>213</v>
      </c>
    </row>
    <row r="4" customFormat="false" ht="13.8" hidden="false" customHeight="false" outlineLevel="0" collapsed="false">
      <c r="A4" s="24" t="s">
        <v>216</v>
      </c>
      <c r="B4" s="24" t="n">
        <v>43</v>
      </c>
      <c r="G4" s="24" t="s">
        <v>216</v>
      </c>
      <c r="H4" s="24" t="n">
        <v>17</v>
      </c>
      <c r="K4" s="24" t="s">
        <v>216</v>
      </c>
      <c r="L4" s="14" t="n">
        <f aca="false">H4/B4</f>
        <v>0.395348837209302</v>
      </c>
    </row>
    <row r="5" customFormat="false" ht="13.8" hidden="false" customHeight="false" outlineLevel="0" collapsed="false">
      <c r="A5" s="24" t="s">
        <v>217</v>
      </c>
      <c r="B5" s="24" t="n">
        <v>26</v>
      </c>
      <c r="G5" s="24" t="s">
        <v>217</v>
      </c>
      <c r="H5" s="24" t="n">
        <v>17</v>
      </c>
      <c r="K5" s="24" t="s">
        <v>217</v>
      </c>
      <c r="L5" s="14" t="n">
        <f aca="false">H5/B5</f>
        <v>0.653846153846154</v>
      </c>
    </row>
    <row r="6" customFormat="false" ht="13.8" hidden="false" customHeight="false" outlineLevel="0" collapsed="false">
      <c r="A6" s="24" t="s">
        <v>218</v>
      </c>
      <c r="B6" s="24" t="n">
        <v>6</v>
      </c>
      <c r="G6" s="24" t="s">
        <v>218</v>
      </c>
      <c r="H6" s="24" t="n">
        <v>25</v>
      </c>
      <c r="K6" s="24" t="s">
        <v>218</v>
      </c>
      <c r="L6" s="14" t="n">
        <f aca="false">H6/B6</f>
        <v>4.16666666666667</v>
      </c>
    </row>
    <row r="7" customFormat="false" ht="13.8" hidden="false" customHeight="false" outlineLevel="0" collapsed="false">
      <c r="A7" s="24" t="s">
        <v>219</v>
      </c>
      <c r="B7" s="24" t="n">
        <v>8</v>
      </c>
      <c r="G7" s="24" t="s">
        <v>219</v>
      </c>
      <c r="H7" s="24" t="n">
        <v>19</v>
      </c>
      <c r="K7" s="24" t="s">
        <v>219</v>
      </c>
      <c r="L7" s="14" t="n">
        <f aca="false">H7/B7</f>
        <v>2.375</v>
      </c>
    </row>
    <row r="8" customFormat="false" ht="13.8" hidden="false" customHeight="false" outlineLevel="0" collapsed="false">
      <c r="A8" s="24" t="s">
        <v>220</v>
      </c>
      <c r="B8" s="24" t="n">
        <v>10</v>
      </c>
      <c r="G8" s="24" t="s">
        <v>220</v>
      </c>
      <c r="H8" s="24" t="n">
        <v>14</v>
      </c>
      <c r="K8" s="24" t="s">
        <v>220</v>
      </c>
      <c r="L8" s="14" t="n">
        <f aca="false">H8/B8</f>
        <v>1.4</v>
      </c>
    </row>
    <row r="9" customFormat="false" ht="13.8" hidden="false" customHeight="false" outlineLevel="0" collapsed="false">
      <c r="A9" s="24" t="s">
        <v>221</v>
      </c>
      <c r="B9" s="24" t="n">
        <f aca="false">100-(SUM(B4:B8))</f>
        <v>7</v>
      </c>
      <c r="G9" s="24" t="s">
        <v>221</v>
      </c>
      <c r="H9" s="24" t="n">
        <f aca="false">100-(SUM(H4:H8))</f>
        <v>8</v>
      </c>
      <c r="K9" s="24" t="s">
        <v>221</v>
      </c>
      <c r="L9" s="14" t="n">
        <f aca="false">H9/B9</f>
        <v>1.14285714285714</v>
      </c>
    </row>
    <row r="10" customFormat="false" ht="12.75" hidden="false" customHeight="false" outlineLevel="0" collapsed="false">
      <c r="L10" s="1"/>
    </row>
    <row r="11" customFormat="false" ht="12.75" hidden="false" customHeight="false" outlineLevel="0" collapsed="false">
      <c r="G11" s="24" t="s">
        <v>222</v>
      </c>
    </row>
    <row r="14" customFormat="false" ht="12.75" hidden="false" customHeight="false" outlineLevel="0" collapsed="false">
      <c r="A14" s="24" t="s">
        <v>223</v>
      </c>
    </row>
    <row r="16" customFormat="false" ht="12.75" hidden="false" customHeight="false" outlineLevel="0" collapsed="false">
      <c r="B16" s="24" t="s">
        <v>216</v>
      </c>
      <c r="C16" s="24" t="s">
        <v>217</v>
      </c>
      <c r="D16" s="24" t="s">
        <v>218</v>
      </c>
      <c r="E16" s="24" t="s">
        <v>219</v>
      </c>
      <c r="F16" s="24" t="s">
        <v>220</v>
      </c>
      <c r="G16" s="24" t="s">
        <v>221</v>
      </c>
      <c r="H16" s="24" t="s">
        <v>224</v>
      </c>
      <c r="I16" s="24" t="s">
        <v>225</v>
      </c>
    </row>
    <row r="17" customFormat="false" ht="12.75" hidden="false" customHeight="false" outlineLevel="0" collapsed="false">
      <c r="A17" s="24" t="s">
        <v>216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customFormat="false" ht="12.75" hidden="false" customHeight="false" outlineLevel="0" collapsed="false">
      <c r="A18" s="24" t="s">
        <v>217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2.75" hidden="false" customHeight="false" outlineLevel="0" collapsed="false">
      <c r="A19" s="24" t="s">
        <v>218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12.75" hidden="false" customHeight="false" outlineLevel="0" collapsed="false">
      <c r="A20" s="24" t="s">
        <v>219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customFormat="false" ht="12.75" hidden="false" customHeight="false" outlineLevel="0" collapsed="false">
      <c r="A21" s="24" t="s">
        <v>220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customFormat="false" ht="12.75" hidden="false" customHeight="false" outlineLevel="0" collapsed="false">
      <c r="A22" s="24" t="s">
        <v>221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12.75" hidden="false" customHeight="false" outlineLevel="0" collapsed="false">
      <c r="A23" s="24" t="s">
        <v>224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customFormat="false" ht="12.75" hidden="false" customHeight="false" outlineLevel="0" collapsed="false">
      <c r="A24" s="24" t="s">
        <v>225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customFormat="false" ht="12.75" hidden="false" customHeight="false" outlineLevel="0" collapsed="false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7"/>
  <sheetViews>
    <sheetView showFormulas="false" showGridLines="true" showRowColHeaders="true" showZeros="true" rightToLeft="false" tabSelected="true" showOutlineSymbols="true" defaultGridColor="true" view="normal" topLeftCell="I1" colorId="64" zoomScale="90" zoomScaleNormal="90" zoomScalePageLayoutView="100" workbookViewId="0">
      <selection pane="topLeft" activeCell="J13" activeCellId="0" sqref="J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78"/>
    <col collapsed="false" customWidth="true" hidden="false" outlineLevel="0" max="2" min="2" style="1" width="43.36"/>
    <col collapsed="false" customWidth="true" hidden="false" outlineLevel="0" max="3" min="3" style="1" width="24.21"/>
    <col collapsed="false" customWidth="true" hidden="false" outlineLevel="0" max="4" min="4" style="1" width="5.56"/>
    <col collapsed="false" customWidth="true" hidden="false" outlineLevel="0" max="5" min="5" style="25" width="7.88"/>
    <col collapsed="false" customWidth="false" hidden="false" outlineLevel="0" max="6" min="6" style="1" width="11.53"/>
    <col collapsed="false" customWidth="true" hidden="false" outlineLevel="0" max="7" min="7" style="1" width="17.91"/>
    <col collapsed="false" customWidth="true" hidden="false" outlineLevel="0" max="8" min="8" style="26" width="17.19"/>
    <col collapsed="false" customWidth="true" hidden="false" outlineLevel="0" max="9" min="9" style="25" width="16.19"/>
    <col collapsed="false" customWidth="true" hidden="false" outlineLevel="0" max="10" min="10" style="24" width="34.08"/>
    <col collapsed="false" customWidth="true" hidden="false" outlineLevel="0" max="11" min="11" style="24" width="20.58"/>
    <col collapsed="false" customWidth="true" hidden="false" outlineLevel="0" max="12" min="12" style="25" width="27.64"/>
    <col collapsed="false" customWidth="true" hidden="false" outlineLevel="0" max="13" min="13" style="1" width="25.64"/>
    <col collapsed="false" customWidth="false" hidden="false" outlineLevel="0" max="16" min="14" style="1" width="11.53"/>
    <col collapsed="false" customWidth="true" hidden="false" outlineLevel="0" max="17" min="17" style="1" width="19.75"/>
    <col collapsed="false" customWidth="false" hidden="false" outlineLevel="0" max="16384" min="18" style="1" width="11.53"/>
  </cols>
  <sheetData>
    <row r="1" customFormat="false" ht="12.8" hidden="false" customHeight="false" outlineLevel="0" collapsed="false">
      <c r="A1" s="1" t="s">
        <v>226</v>
      </c>
      <c r="B1" s="1" t="s">
        <v>7</v>
      </c>
      <c r="C1" s="1" t="s">
        <v>227</v>
      </c>
      <c r="D1" s="1" t="s">
        <v>8</v>
      </c>
      <c r="E1" s="25" t="s">
        <v>228</v>
      </c>
      <c r="F1" s="1" t="s">
        <v>2</v>
      </c>
      <c r="G1" s="1" t="s">
        <v>229</v>
      </c>
      <c r="H1" s="26" t="s">
        <v>230</v>
      </c>
      <c r="I1" s="25" t="s">
        <v>231</v>
      </c>
      <c r="J1" s="1" t="s">
        <v>232</v>
      </c>
      <c r="K1" s="1" t="s">
        <v>233</v>
      </c>
      <c r="L1" s="25" t="s">
        <v>234</v>
      </c>
      <c r="M1" s="1" t="s">
        <v>235</v>
      </c>
      <c r="N1" s="1" t="s">
        <v>236</v>
      </c>
      <c r="O1" s="1" t="s">
        <v>237</v>
      </c>
      <c r="P1" s="25" t="s">
        <v>238</v>
      </c>
    </row>
    <row r="2" customFormat="false" ht="13.8" hidden="false" customHeight="false" outlineLevel="0" collapsed="false">
      <c r="A2" s="1" t="s">
        <v>239</v>
      </c>
      <c r="B2" s="27" t="s">
        <v>23</v>
      </c>
      <c r="C2" s="1" t="s">
        <v>240</v>
      </c>
      <c r="D2" s="1" t="n">
        <v>295</v>
      </c>
      <c r="E2" s="25" t="n">
        <v>0.307</v>
      </c>
      <c r="F2" s="1" t="n">
        <v>965</v>
      </c>
      <c r="G2" s="1" t="n">
        <v>3495</v>
      </c>
      <c r="H2" s="28" t="n">
        <f aca="false">ROUND(D2*IF(ISNUMBER(SEARCH("Labour",B2)),National!$L$4,IF(ISNUMBER(SEARCH("Conservative",B2)),National!$L$5,IF(OR(ISNUMBER(SEARCH("Reform",B2)),ISNUMBER(SEARCH("RefUK",B2))),National!$L$6,IF(ISNUMBER(SEARCH("Green",B2)),National!$L$7,IF(OR(ISNUMBER(SEARCH("Liberal Democrat",B2)),ISNUMBER(SEARCH("Lib Dem",B2))),National!$L$8,National!$L$9))))),0)</f>
        <v>337</v>
      </c>
      <c r="I2" s="25" t="n">
        <f aca="false">H2/SUMIFS(H:H,A:A,A2)</f>
        <v>0.303057553956835</v>
      </c>
      <c r="J2" s="29" t="n">
        <f aca="false">ROUND(I2*SUMIF(A:A,A2,D:D),0)</f>
        <v>291</v>
      </c>
      <c r="K2" s="24" t="n">
        <f aca="false">ROUND(AVERAGEIFS(J:J,A:A,A2,B:B,B2)/COUNTIFS(B:B,B2,A:A,A2),0)</f>
        <v>135</v>
      </c>
      <c r="L2" s="25" t="n">
        <f aca="false">K2/SUMIF(A:A,A2,K:K)</f>
        <v>0.195369030390738</v>
      </c>
      <c r="M2" s="1" t="n">
        <f aca="false">ROUND(SUMIF(A:A,A2,J:J)*L2,0)</f>
        <v>188</v>
      </c>
      <c r="N2" s="1" t="str">
        <f aca="false">IF(O2=1,"Yes",IF(AND(O2&gt;1,SUMIFS(L:L,B:B,"&lt;&gt;Green",A:A,A2)+5%&gt;=SUMIFS(L:L,A:A,A2,B:B,"&lt;&gt;Green",O:O,1)),"No","Yes"))</f>
        <v>Yes</v>
      </c>
      <c r="O2" s="1" t="n">
        <f aca="false">COUNTIFS(A:A,A2,P:P,"&gt;"&amp;P2)+1</f>
        <v>1</v>
      </c>
      <c r="P2" s="25" t="n">
        <f aca="false">SUMIFS(L:L,A:A,A2,B:B,B2)</f>
        <v>0.390738060781476</v>
      </c>
    </row>
    <row r="3" customFormat="false" ht="13.8" hidden="false" customHeight="false" outlineLevel="0" collapsed="false">
      <c r="A3" s="1" t="s">
        <v>239</v>
      </c>
      <c r="B3" s="27" t="s">
        <v>23</v>
      </c>
      <c r="C3" s="1" t="s">
        <v>24</v>
      </c>
      <c r="D3" s="1" t="n">
        <v>252</v>
      </c>
      <c r="E3" s="25" t="n">
        <v>0.263</v>
      </c>
      <c r="F3" s="1" t="n">
        <v>965</v>
      </c>
      <c r="G3" s="1" t="n">
        <v>3495</v>
      </c>
      <c r="H3" s="28" t="n">
        <f aca="false">ROUND(D3*IF(ISNUMBER(SEARCH("Labour",B3)),National!$L$4,IF(ISNUMBER(SEARCH("Conservative",B3)),National!$L$5,IF(OR(ISNUMBER(SEARCH("Reform",B3)),ISNUMBER(SEARCH("RefUK",B3))),National!$L$6,IF(ISNUMBER(SEARCH("Green",B3)),National!$L$7,IF(OR(ISNUMBER(SEARCH("Liberal Democrat",B3)),ISNUMBER(SEARCH("Lib Dem",B3))),National!$L$8,National!$L$9))))),0)</f>
        <v>288</v>
      </c>
      <c r="I3" s="25" t="n">
        <f aca="false">H3/SUMIFS(H:H,A:A,A3)</f>
        <v>0.258992805755396</v>
      </c>
      <c r="J3" s="29" t="n">
        <f aca="false">ROUND(I3*SUMIF(A:A,A3,D:D),0)</f>
        <v>249</v>
      </c>
      <c r="K3" s="24" t="n">
        <f aca="false">ROUND(AVERAGEIFS(J:J,A:A,A3,B:B,B3)/COUNTIFS(B:B,B3,A:A,A3),0)</f>
        <v>135</v>
      </c>
      <c r="L3" s="25" t="n">
        <f aca="false">K3/SUMIF(A:A,A3,K:K)</f>
        <v>0.195369030390738</v>
      </c>
      <c r="M3" s="1" t="n">
        <f aca="false">ROUND(SUMIF(A:A,A3,J:J)*L3,0)</f>
        <v>188</v>
      </c>
      <c r="N3" s="1" t="str">
        <f aca="false">IF(O3=1,"Yes",IF(AND(O3&gt;1,SUMIFS(L:L,B:B,"&lt;&gt;Green",A:A,A3)+5%&gt;=SUMIFS(L:L,A:A,A3,B:B,"&lt;&gt;Green",O:O,1)),"No","Yes"))</f>
        <v>Yes</v>
      </c>
      <c r="O3" s="1" t="n">
        <f aca="false">COUNTIFS(A:A,A3,P:P,"&gt;"&amp;P3)+1</f>
        <v>1</v>
      </c>
      <c r="P3" s="25" t="n">
        <f aca="false">SUMIFS(L:L,A:A,A3,B:B,B3)</f>
        <v>0.390738060781476</v>
      </c>
    </row>
    <row r="4" customFormat="false" ht="13.8" hidden="false" customHeight="false" outlineLevel="0" collapsed="false">
      <c r="A4" s="1" t="s">
        <v>239</v>
      </c>
      <c r="B4" s="27" t="s">
        <v>241</v>
      </c>
      <c r="C4" s="1" t="s">
        <v>242</v>
      </c>
      <c r="D4" s="1" t="n">
        <v>190</v>
      </c>
      <c r="E4" s="25" t="n">
        <v>0.198</v>
      </c>
      <c r="F4" s="1" t="n">
        <v>965</v>
      </c>
      <c r="G4" s="1" t="n">
        <v>3495</v>
      </c>
      <c r="H4" s="28" t="n">
        <f aca="false">ROUND(D4*IF(ISNUMBER(SEARCH("Labour",B4)),National!$L$4,IF(ISNUMBER(SEARCH("Conservative",B4)),National!$L$5,IF(OR(ISNUMBER(SEARCH("Reform",B4)),ISNUMBER(SEARCH("RefUK",B4))),National!$L$6,IF(ISNUMBER(SEARCH("Green",B4)),National!$L$7,IF(OR(ISNUMBER(SEARCH("Liberal Democrat",B4)),ISNUMBER(SEARCH("Lib Dem",B4))),National!$L$8,National!$L$9))))),0)</f>
        <v>124</v>
      </c>
      <c r="I4" s="25" t="n">
        <f aca="false">H4/SUMIFS(H:H,A:A,A4)</f>
        <v>0.111510791366906</v>
      </c>
      <c r="J4" s="29" t="n">
        <f aca="false">ROUND(I4*SUMIF(A:A,A4,D:D),0)</f>
        <v>107</v>
      </c>
      <c r="K4" s="24" t="n">
        <f aca="false">ROUND(AVERAGEIFS(J:J,A:A,A4,B:B,B4)/COUNTIFS(B:B,B4,A:A,A4),0)</f>
        <v>107</v>
      </c>
      <c r="L4" s="25" t="n">
        <f aca="false">K4/SUMIF(A:A,A4,K:K)</f>
        <v>0.154848046309696</v>
      </c>
      <c r="M4" s="1" t="n">
        <f aca="false">ROUND(SUMIF(A:A,A4,J:J)*L4,0)</f>
        <v>149</v>
      </c>
      <c r="N4" s="1" t="str">
        <f aca="false">IF(O4=1,"Yes",IF(AND(O4&gt;1,SUMIFS(L:L,B:B,"&lt;&gt;Green",A:A,A4)+5%&gt;=SUMIFS(L:L,A:A,A4,B:B,"&lt;&gt;Green",O:O,1)),"No","Yes"))</f>
        <v>No</v>
      </c>
      <c r="O4" s="1" t="n">
        <f aca="false">COUNTIFS(A:A,A4,P:P,"&gt;"&amp;P4)+1</f>
        <v>4</v>
      </c>
      <c r="P4" s="25" t="n">
        <f aca="false">SUMIFS(L:L,A:A,A4,B:B,B4)</f>
        <v>0.154848046309696</v>
      </c>
    </row>
    <row r="5" customFormat="false" ht="13.8" hidden="false" customHeight="false" outlineLevel="0" collapsed="false">
      <c r="A5" s="1" t="s">
        <v>239</v>
      </c>
      <c r="B5" s="27" t="s">
        <v>216</v>
      </c>
      <c r="C5" s="1" t="s">
        <v>243</v>
      </c>
      <c r="D5" s="1" t="n">
        <v>118</v>
      </c>
      <c r="E5" s="25" t="n">
        <v>0.123</v>
      </c>
      <c r="F5" s="1" t="n">
        <v>965</v>
      </c>
      <c r="G5" s="1" t="n">
        <v>3495</v>
      </c>
      <c r="H5" s="28" t="n">
        <f aca="false">ROUND(D5*IF(ISNUMBER(SEARCH("Labour",B5)),National!$L$4,IF(ISNUMBER(SEARCH("Conservative",B5)),National!$L$5,IF(OR(ISNUMBER(SEARCH("Reform",B5)),ISNUMBER(SEARCH("RefUK",B5))),National!$L$6,IF(ISNUMBER(SEARCH("Green",B5)),National!$L$7,IF(OR(ISNUMBER(SEARCH("Liberal Democrat",B5)),ISNUMBER(SEARCH("Lib Dem",B5))),National!$L$8,National!$L$9))))),0)</f>
        <v>47</v>
      </c>
      <c r="I5" s="25" t="n">
        <f aca="false">H5/SUMIFS(H:H,A:A,A5)</f>
        <v>0.0422661870503597</v>
      </c>
      <c r="J5" s="29" t="n">
        <f aca="false">ROUND(I5*SUMIF(A:A,A5,D:D),0)</f>
        <v>41</v>
      </c>
      <c r="K5" s="24" t="n">
        <f aca="false">ROUND(AVERAGEIFS(J:J,A:A,A5,B:B,B5)/COUNTIFS(B:B,B5,A:A,A5),0)</f>
        <v>41</v>
      </c>
      <c r="L5" s="25" t="n">
        <f aca="false">K5/SUMIF(A:A,A5,K:K)</f>
        <v>0.0593342981186686</v>
      </c>
      <c r="M5" s="1" t="n">
        <f aca="false">ROUND(SUMIF(A:A,A5,J:J)*L5,0)</f>
        <v>57</v>
      </c>
      <c r="N5" s="1" t="str">
        <f aca="false">IF(O5=1,"Yes",IF(AND(O5&gt;1,SUMIFS(L:L,B:B,"&lt;&gt;Green",A:A,A5)+5%&gt;=SUMIFS(L:L,A:A,A5,B:B,"&lt;&gt;Green",O:O,1)),"No","Yes"))</f>
        <v>No</v>
      </c>
      <c r="O5" s="1" t="n">
        <f aca="false">COUNTIFS(A:A,A5,P:P,"&gt;"&amp;P5)+1</f>
        <v>6</v>
      </c>
      <c r="P5" s="25" t="n">
        <f aca="false">SUMIFS(L:L,A:A,A5,B:B,B5)</f>
        <v>0.0593342981186686</v>
      </c>
    </row>
    <row r="6" customFormat="false" ht="13.8" hidden="false" customHeight="false" outlineLevel="0" collapsed="false">
      <c r="A6" s="1" t="s">
        <v>239</v>
      </c>
      <c r="B6" s="27" t="s">
        <v>244</v>
      </c>
      <c r="C6" s="1" t="s">
        <v>245</v>
      </c>
      <c r="D6" s="1" t="n">
        <v>49</v>
      </c>
      <c r="E6" s="25" t="n">
        <v>0.051</v>
      </c>
      <c r="F6" s="1" t="n">
        <v>965</v>
      </c>
      <c r="G6" s="1" t="n">
        <v>3495</v>
      </c>
      <c r="H6" s="28" t="n">
        <f aca="false">ROUND(D6*IF(ISNUMBER(SEARCH("Labour",B6)),National!$L$4,IF(ISNUMBER(SEARCH("Conservative",B6)),National!$L$5,IF(OR(ISNUMBER(SEARCH("Reform",B6)),ISNUMBER(SEARCH("RefUK",B6))),National!$L$6,IF(ISNUMBER(SEARCH("Green",B6)),National!$L$7,IF(OR(ISNUMBER(SEARCH("Liberal Democrat",B6)),ISNUMBER(SEARCH("Lib Dem",B6))),National!$L$8,National!$L$9))))),0)</f>
        <v>204</v>
      </c>
      <c r="I6" s="25" t="n">
        <f aca="false">H6/SUMIFS(H:H,A:A,A6)</f>
        <v>0.183453237410072</v>
      </c>
      <c r="J6" s="29" t="n">
        <f aca="false">ROUND(I6*SUMIF(A:A,A6,D:D),0)</f>
        <v>176</v>
      </c>
      <c r="K6" s="24" t="n">
        <f aca="false">ROUND(AVERAGEIFS(J:J,A:A,A6,B:B,B6)/COUNTIFS(B:B,B6,A:A,A6),0)</f>
        <v>176</v>
      </c>
      <c r="L6" s="25" t="n">
        <f aca="false">K6/SUMIF(A:A,A6,K:K)</f>
        <v>0.254703328509407</v>
      </c>
      <c r="M6" s="1" t="n">
        <f aca="false">ROUND(SUMIF(A:A,A6,J:J)*L6,0)</f>
        <v>245</v>
      </c>
      <c r="N6" s="1" t="str">
        <f aca="false">IF(O6=1,"Yes",IF(AND(O6&gt;1,SUMIFS(L:L,B:B,"&lt;&gt;Green",A:A,A6)+5%&gt;=SUMIFS(L:L,A:A,A6,B:B,"&lt;&gt;Green",O:O,1)),"No","Yes"))</f>
        <v>No</v>
      </c>
      <c r="O6" s="1" t="n">
        <f aca="false">COUNTIFS(A:A,A6,P:P,"&gt;"&amp;P6)+1</f>
        <v>3</v>
      </c>
      <c r="P6" s="25" t="n">
        <f aca="false">SUMIFS(L:L,A:A,A6,B:B,B6)</f>
        <v>0.254703328509407</v>
      </c>
    </row>
    <row r="7" customFormat="false" ht="13.8" hidden="false" customHeight="false" outlineLevel="0" collapsed="false">
      <c r="A7" s="1" t="s">
        <v>239</v>
      </c>
      <c r="B7" s="30" t="s">
        <v>219</v>
      </c>
      <c r="C7" s="1" t="s">
        <v>246</v>
      </c>
      <c r="D7" s="1" t="n">
        <v>34</v>
      </c>
      <c r="E7" s="25" t="n">
        <v>0.035</v>
      </c>
      <c r="F7" s="1" t="n">
        <v>965</v>
      </c>
      <c r="G7" s="1" t="n">
        <v>3495</v>
      </c>
      <c r="H7" s="28" t="n">
        <f aca="false">ROUND(D7*IF(ISNUMBER(SEARCH("Labour",B7)),National!$L$4,IF(ISNUMBER(SEARCH("Conservative",B7)),National!$L$5,IF(OR(ISNUMBER(SEARCH("Reform",B7)),ISNUMBER(SEARCH("RefUK",B7))),National!$L$6,IF(ISNUMBER(SEARCH("Green",B7)),National!$L$7,IF(OR(ISNUMBER(SEARCH("Liberal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Dem",B7))),National!$L$8,National!$L$9))))),0)</f>
        <v>81</v>
      </c>
      <c r="I7" s="25" t="n">
        <f aca="false">H7/SUMIFS(H:H,A:A,A7)</f>
        <v>0.072841726618705</v>
      </c>
      <c r="J7" s="29" t="n">
        <f aca="false">ROUND(I7*SUMIF(A:A,A7,D:D),0)</f>
        <v>70</v>
      </c>
      <c r="K7" s="24" t="n">
        <f aca="false">ROUND(AVERAGEIFS(J:J,A:A,A7,B:B,B7)/COUNTIFS(B:B,B7,A:A,A7),0)</f>
        <v>70</v>
      </c>
      <c r="L7" s="25" t="n">
        <f aca="false">K7/SUMIF(A:A,A7,K:K)</f>
        <v>0.101302460202605</v>
      </c>
      <c r="M7" s="1" t="n">
        <f aca="false">ROUND(SUMIF(A:A,A7,J:J)*L7,0)</f>
        <v>97</v>
      </c>
      <c r="N7" s="1" t="str">
        <f aca="false">IF(O7=1,"Yes",IF(AND(O7&gt;1,SUMIFS(L:L,B:B,"&lt;&gt;Green",A:A,A7)+5%&gt;=SUMIFS(L:L,A:A,A7,B:B,"&lt;&gt;Green",O:O,1)),"No","Yes"))</f>
        <v>No</v>
      </c>
      <c r="O7" s="1" t="n">
        <f aca="false">COUNTIFS(A:A,A7,P:P,"&gt;"&amp;P7)+1</f>
        <v>5</v>
      </c>
      <c r="P7" s="25" t="n">
        <f aca="false">SUMIFS(L:L,A:A,A7,B:B,B7)</f>
        <v>0.101302460202605</v>
      </c>
    </row>
    <row r="8" customFormat="false" ht="13.8" hidden="false" customHeight="false" outlineLevel="0" collapsed="false">
      <c r="A8" s="1" t="s">
        <v>239</v>
      </c>
      <c r="B8" s="27" t="s">
        <v>19</v>
      </c>
      <c r="C8" s="1" t="s">
        <v>247</v>
      </c>
      <c r="D8" s="1" t="n">
        <v>22</v>
      </c>
      <c r="E8" s="25" t="n">
        <v>0.023</v>
      </c>
      <c r="F8" s="1" t="n">
        <v>965</v>
      </c>
      <c r="G8" s="1" t="n">
        <v>3495</v>
      </c>
      <c r="H8" s="28" t="n">
        <f aca="false">ROUND(D8*IF(ISNUMBER(SEARCH("Labour",B8)),National!$L$4,IF(ISNUMBER(SEARCH("Conservative",B8)),National!$L$5,IF(OR(ISNUMBER(SEARCH("Reform",B8)),ISNUMBER(SEARCH("RefUK",B8))),National!$L$6,IF(ISNUMBER(SEARCH("Green",B8)),National!$L$7,IF(OR(ISNUMBER(SEARCH("Liberal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Dem",B8))),National!$L$8,National!$L$9))))),0)</f>
        <v>31</v>
      </c>
      <c r="I8" s="25" t="n">
        <f aca="false">H8/SUMIFS(H:H,A:A,A8)</f>
        <v>0.0278776978417266</v>
      </c>
      <c r="J8" s="29" t="n">
        <f aca="false">ROUND(I8*SUMIF(A:A,A8,D:D),0)</f>
        <v>27</v>
      </c>
      <c r="K8" s="24" t="n">
        <f aca="false">ROUND(AVERAGEIFS(J:J,A:A,A8,B:B,B8)/COUNTIFS(B:B,B8,A:A,A8),0)</f>
        <v>27</v>
      </c>
      <c r="L8" s="25" t="n">
        <f aca="false">K8/SUMIF(A:A,A8,K:K)</f>
        <v>0.0390738060781476</v>
      </c>
      <c r="M8" s="1" t="n">
        <f aca="false">ROUND(SUMIF(A:A,A8,J:J)*L8,0)</f>
        <v>38</v>
      </c>
      <c r="N8" s="1" t="str">
        <f aca="false">IF(O8=1,"Yes",IF(AND(O8&gt;1,SUMIFS(L:L,B:B,"&lt;&gt;Green",A:A,A8)+5%&gt;=SUMIFS(L:L,A:A,A8,B:B,"&lt;&gt;Green",O:O,1)),"No","Yes"))</f>
        <v>No</v>
      </c>
      <c r="O8" s="1" t="n">
        <f aca="false">COUNTIFS(A:A,A8,P:P,"&gt;"&amp;P8)+1</f>
        <v>7</v>
      </c>
      <c r="P8" s="25" t="n">
        <f aca="false">SUMIFS(L:L,A:A,A8,B:B,B8)</f>
        <v>0.0390738060781476</v>
      </c>
    </row>
    <row r="9" customFormat="false" ht="13.8" hidden="false" customHeight="false" outlineLevel="0" collapsed="false">
      <c r="A9" s="1" t="s">
        <v>248</v>
      </c>
      <c r="B9" s="27" t="s">
        <v>249</v>
      </c>
      <c r="C9" s="1" t="s">
        <v>250</v>
      </c>
      <c r="D9" s="1" t="n">
        <v>1394</v>
      </c>
      <c r="E9" s="25" t="n">
        <v>0.633</v>
      </c>
      <c r="F9" s="1" t="n">
        <v>2201</v>
      </c>
      <c r="G9" s="1" t="n">
        <v>10525</v>
      </c>
      <c r="H9" s="28" t="n">
        <f aca="false">ROUND(D9*IF(ISNUMBER(SEARCH("Labour",B9)),National!$L$4,IF(ISNUMBER(SEARCH("Conservative",B9)),National!$L$5,IF(OR(ISNUMBER(SEARCH("Reform",B9)),ISNUMBER(SEARCH("RefUK",B9))),National!$L$6,IF(ISNUMBER(SEARCH("Green",B9)),National!$L$7,IF(OR(ISNUMBER(SEARCH("Liberal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Dem",B9))),National!$L$8,National!$L$9))))),0)</f>
        <v>551</v>
      </c>
      <c r="I9" s="25" t="n">
        <f aca="false">H9/SUMIFS(H:H,A:A,A9)</f>
        <v>0.149160801299404</v>
      </c>
      <c r="J9" s="29" t="n">
        <f aca="false">ROUND(I9*SUMIF(A:A,A9,D:D),0)</f>
        <v>881</v>
      </c>
      <c r="K9" s="24" t="n">
        <f aca="false">ROUND(AVERAGEIFS(J:J,A:A,A9,B:B,B9)/COUNTIFS(B:B,B9,A:A,A9),0)</f>
        <v>263</v>
      </c>
      <c r="L9" s="25" t="n">
        <f aca="false">K9/SUMIF(A:A,A9,K:K)</f>
        <v>0.0806748466257669</v>
      </c>
      <c r="M9" s="1" t="n">
        <f aca="false">ROUND(SUMIF(A:A,A9,J:J)*L9,0)</f>
        <v>477</v>
      </c>
      <c r="N9" s="1" t="str">
        <f aca="false">IF(O9=1,"Yes",IF(AND(O9&gt;1,SUMIFS(L:L,B:B,"&lt;&gt;Green",A:A,A9)+5%&gt;=SUMIFS(L:L,A:A,A9,B:B,"&lt;&gt;Green",O:O,1)),"No","Yes"))</f>
        <v>No</v>
      </c>
      <c r="O9" s="1" t="n">
        <f aca="false">COUNTIFS(A:A,A9,P:P,"&gt;"&amp;P9)+1</f>
        <v>2</v>
      </c>
      <c r="P9" s="25" t="n">
        <f aca="false">SUMIFS(L:L,A:A,A9,B:B,B9)</f>
        <v>0.242024539877301</v>
      </c>
    </row>
    <row r="10" customFormat="false" ht="13.8" hidden="false" customHeight="false" outlineLevel="0" collapsed="false">
      <c r="A10" s="1" t="s">
        <v>248</v>
      </c>
      <c r="B10" s="27" t="s">
        <v>249</v>
      </c>
      <c r="C10" s="1" t="s">
        <v>28</v>
      </c>
      <c r="D10" s="1" t="n">
        <v>1211</v>
      </c>
      <c r="E10" s="25" t="n">
        <v>0.55</v>
      </c>
      <c r="F10" s="1" t="n">
        <v>2201</v>
      </c>
      <c r="G10" s="1" t="n">
        <v>10525</v>
      </c>
      <c r="H10" s="28" t="n">
        <f aca="false">ROUND(D10*IF(ISNUMBER(SEARCH("Labour",B10)),National!$L$4,IF(ISNUMBER(SEARCH("Conservative",B10)),National!$L$5,IF(OR(ISNUMBER(SEARCH("Reform",B10)),ISNUMBER(SEARCH("RefUK",B10))),National!$L$6,IF(ISNUMBER(SEARCH("Green",B10)),National!$L$7,IF(OR(ISNUMBER(SEARCH("Liberal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Dem",B10))),National!$L$8,National!$L$9))))),0)</f>
        <v>479</v>
      </c>
      <c r="I10" s="25" t="n">
        <f aca="false">H10/SUMIFS(H:H,A:A,A10)</f>
        <v>0.129669734704927</v>
      </c>
      <c r="J10" s="29" t="n">
        <f aca="false">ROUND(I10*SUMIF(A:A,A10,D:D),0)</f>
        <v>766</v>
      </c>
      <c r="K10" s="24" t="n">
        <f aca="false">ROUND(AVERAGEIFS(J:J,A:A,A10,B:B,B10)/COUNTIFS(B:B,B10,A:A,A10),0)</f>
        <v>263</v>
      </c>
      <c r="L10" s="25" t="n">
        <f aca="false">K10/SUMIF(A:A,A10,K:K)</f>
        <v>0.0806748466257669</v>
      </c>
      <c r="M10" s="1" t="n">
        <f aca="false">ROUND(SUMIF(A:A,A10,J:J)*L10,0)</f>
        <v>477</v>
      </c>
      <c r="N10" s="1" t="str">
        <f aca="false">IF(O10=1,"Yes",IF(AND(O10&gt;1,SUMIFS(L:L,B:B,"&lt;&gt;Green",A:A,A10)+5%&gt;=SUMIFS(L:L,A:A,A10,B:B,"&lt;&gt;Green",O:O,1)),"No","Yes"))</f>
        <v>No</v>
      </c>
      <c r="O10" s="1" t="n">
        <f aca="false">COUNTIFS(A:A,A10,P:P,"&gt;"&amp;P10)+1</f>
        <v>2</v>
      </c>
      <c r="P10" s="25" t="n">
        <f aca="false">SUMIFS(L:L,A:A,A10,B:B,B10)</f>
        <v>0.242024539877301</v>
      </c>
    </row>
    <row r="11" customFormat="false" ht="13.8" hidden="false" customHeight="false" outlineLevel="0" collapsed="false">
      <c r="A11" s="1" t="s">
        <v>248</v>
      </c>
      <c r="B11" s="27" t="s">
        <v>249</v>
      </c>
      <c r="C11" s="1" t="s">
        <v>251</v>
      </c>
      <c r="D11" s="1" t="n">
        <v>1136</v>
      </c>
      <c r="E11" s="25" t="n">
        <v>0.516</v>
      </c>
      <c r="F11" s="1" t="n">
        <v>2201</v>
      </c>
      <c r="G11" s="1" t="n">
        <v>10525</v>
      </c>
      <c r="H11" s="28" t="n">
        <f aca="false">ROUND(D11*IF(ISNUMBER(SEARCH("Labour",B11)),National!$L$4,IF(ISNUMBER(SEARCH("Conservative",B11)),National!$L$5,IF(OR(ISNUMBER(SEARCH("Reform",B11)),ISNUMBER(SEARCH("RefUK",B11))),National!$L$6,IF(ISNUMBER(SEARCH("Green",B11)),National!$L$7,IF(OR(ISNUMBER(SEARCH("Liberal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Dem",B11))),National!$L$8,National!$L$9))))),0)</f>
        <v>449</v>
      </c>
      <c r="I11" s="25" t="n">
        <f aca="false">H11/SUMIFS(H:H,A:A,A11)</f>
        <v>0.121548456957228</v>
      </c>
      <c r="J11" s="29" t="n">
        <f aca="false">ROUND(I11*SUMIF(A:A,A11,D:D),0)</f>
        <v>718</v>
      </c>
      <c r="K11" s="24" t="n">
        <f aca="false">ROUND(AVERAGEIFS(J:J,A:A,A11,B:B,B11)/COUNTIFS(B:B,B11,A:A,A11),0)</f>
        <v>263</v>
      </c>
      <c r="L11" s="25" t="n">
        <f aca="false">K11/SUMIF(A:A,A11,K:K)</f>
        <v>0.0806748466257669</v>
      </c>
      <c r="M11" s="1" t="n">
        <f aca="false">ROUND(SUMIF(A:A,A11,J:J)*L11,0)</f>
        <v>477</v>
      </c>
      <c r="N11" s="1" t="str">
        <f aca="false">IF(O11=1,"Yes",IF(AND(O11&gt;1,SUMIFS(L:L,B:B,"&lt;&gt;Green",A:A,A11)+5%&gt;=SUMIFS(L:L,A:A,A11,B:B,"&lt;&gt;Green",O:O,1)),"No","Yes"))</f>
        <v>No</v>
      </c>
      <c r="O11" s="1" t="n">
        <f aca="false">COUNTIFS(A:A,A11,P:P,"&gt;"&amp;P11)+1</f>
        <v>2</v>
      </c>
      <c r="P11" s="25" t="n">
        <f aca="false">SUMIFS(L:L,A:A,A11,B:B,B11)</f>
        <v>0.242024539877301</v>
      </c>
    </row>
    <row r="12" customFormat="false" ht="13.8" hidden="false" customHeight="false" outlineLevel="0" collapsed="false">
      <c r="A12" s="1" t="s">
        <v>248</v>
      </c>
      <c r="B12" s="27" t="s">
        <v>241</v>
      </c>
      <c r="C12" s="1" t="s">
        <v>252</v>
      </c>
      <c r="D12" s="1" t="n">
        <v>552</v>
      </c>
      <c r="E12" s="25" t="n">
        <v>0.251</v>
      </c>
      <c r="F12" s="1" t="n">
        <v>2201</v>
      </c>
      <c r="G12" s="1" t="n">
        <v>10525</v>
      </c>
      <c r="H12" s="28" t="n">
        <f aca="false">ROUND(D12*IF(ISNUMBER(SEARCH("Labour",B12)),National!$L$4,IF(ISNUMBER(SEARCH("Conservative",B12)),National!$L$5,IF(OR(ISNUMBER(SEARCH("Reform",B12)),ISNUMBER(SEARCH("RefUK",B12))),National!$L$6,IF(ISNUMBER(SEARCH("Green",B12)),National!$L$7,IF(OR(ISNUMBER(SEARCH("Liberal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Dem",B12))),National!$L$8,National!$L$9))))),0)</f>
        <v>361</v>
      </c>
      <c r="I12" s="25" t="n">
        <f aca="false">H12/SUMIFS(H:H,A:A,A12)</f>
        <v>0.0977260422306443</v>
      </c>
      <c r="J12" s="29" t="n">
        <f aca="false">ROUND(I12*SUMIF(A:A,A12,D:D),0)</f>
        <v>577</v>
      </c>
      <c r="K12" s="24" t="n">
        <f aca="false">ROUND(AVERAGEIFS(J:J,A:A,A12,B:B,B12)/COUNTIFS(B:B,B12,A:A,A12),0)</f>
        <v>178</v>
      </c>
      <c r="L12" s="25" t="n">
        <f aca="false">K12/SUMIF(A:A,A12,K:K)</f>
        <v>0.054601226993865</v>
      </c>
      <c r="M12" s="1" t="n">
        <f aca="false">ROUND(SUMIF(A:A,A12,J:J)*L12,0)</f>
        <v>323</v>
      </c>
      <c r="N12" s="1" t="str">
        <f aca="false">IF(O12=1,"Yes",IF(AND(O12&gt;1,SUMIFS(L:L,B:B,"&lt;&gt;Green",A:A,A12)+5%&gt;=SUMIFS(L:L,A:A,A12,B:B,"&lt;&gt;Green",O:O,1)),"No","Yes"))</f>
        <v>No</v>
      </c>
      <c r="O12" s="1" t="n">
        <f aca="false">COUNTIFS(A:A,A12,P:P,"&gt;"&amp;P12)+1</f>
        <v>6</v>
      </c>
      <c r="P12" s="25" t="n">
        <f aca="false">SUMIFS(L:L,A:A,A12,B:B,B12)</f>
        <v>0.163803680981595</v>
      </c>
    </row>
    <row r="13" customFormat="false" ht="13.8" hidden="false" customHeight="false" outlineLevel="0" collapsed="false">
      <c r="A13" s="1" t="s">
        <v>248</v>
      </c>
      <c r="B13" s="27" t="s">
        <v>241</v>
      </c>
      <c r="C13" s="1" t="s">
        <v>253</v>
      </c>
      <c r="D13" s="1" t="n">
        <v>517</v>
      </c>
      <c r="E13" s="25" t="n">
        <v>0.235</v>
      </c>
      <c r="F13" s="1" t="n">
        <v>2201</v>
      </c>
      <c r="G13" s="1" t="n">
        <v>10525</v>
      </c>
      <c r="H13" s="28" t="n">
        <f aca="false">ROUND(D13*IF(ISNUMBER(SEARCH("Labour",B13)),National!$L$4,IF(ISNUMBER(SEARCH("Conservative",B13)),National!$L$5,IF(OR(ISNUMBER(SEARCH("Reform",B13)),ISNUMBER(SEARCH("RefUK",B13))),National!$L$6,IF(ISNUMBER(SEARCH("Green",B13)),National!$L$7,IF(OR(ISNUMBER(SEARCH("Liberal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Dem",B13))),National!$L$8,National!$L$9))))),0)</f>
        <v>338</v>
      </c>
      <c r="I13" s="25" t="n">
        <f aca="false">H13/SUMIFS(H:H,A:A,A13)</f>
        <v>0.0914997292907417</v>
      </c>
      <c r="J13" s="29" t="n">
        <f aca="false">ROUND(I13*SUMIF(A:A,A13,D:D),0)</f>
        <v>541</v>
      </c>
      <c r="K13" s="24" t="n">
        <f aca="false">ROUND(AVERAGEIFS(J:J,A:A,A13,B:B,B13)/COUNTIFS(B:B,B13,A:A,A13),0)</f>
        <v>178</v>
      </c>
      <c r="L13" s="25" t="n">
        <f aca="false">K13/SUMIF(A:A,A13,K:K)</f>
        <v>0.054601226993865</v>
      </c>
      <c r="M13" s="1" t="n">
        <f aca="false">ROUND(SUMIF(A:A,A13,J:J)*L13,0)</f>
        <v>323</v>
      </c>
      <c r="N13" s="1" t="str">
        <f aca="false">IF(O13=1,"Yes",IF(AND(O13&gt;1,SUMIFS(L:L,B:B,"&lt;&gt;Green",A:A,A13)+5%&gt;=SUMIFS(L:L,A:A,A13,B:B,"&lt;&gt;Green",O:O,1)),"No","Yes"))</f>
        <v>No</v>
      </c>
      <c r="O13" s="1" t="n">
        <f aca="false">COUNTIFS(A:A,A13,P:P,"&gt;"&amp;P13)+1</f>
        <v>6</v>
      </c>
      <c r="P13" s="25" t="n">
        <f aca="false">SUMIFS(L:L,A:A,A13,B:B,B13)</f>
        <v>0.163803680981595</v>
      </c>
    </row>
    <row r="14" customFormat="false" ht="13.8" hidden="false" customHeight="false" outlineLevel="0" collapsed="false">
      <c r="A14" s="1" t="s">
        <v>248</v>
      </c>
      <c r="B14" s="27" t="s">
        <v>241</v>
      </c>
      <c r="C14" s="1" t="s">
        <v>254</v>
      </c>
      <c r="D14" s="1" t="n">
        <v>467</v>
      </c>
      <c r="E14" s="25" t="n">
        <v>0.212</v>
      </c>
      <c r="F14" s="1" t="n">
        <v>2201</v>
      </c>
      <c r="G14" s="1" t="n">
        <v>10525</v>
      </c>
      <c r="H14" s="28" t="n">
        <f aca="false">ROUND(D14*IF(ISNUMBER(SEARCH("Labour",B14)),National!$L$4,IF(ISNUMBER(SEARCH("Conservative",B14)),National!$L$5,IF(OR(ISNUMBER(SEARCH("Reform",B14)),ISNUMBER(SEARCH("RefUK",B14))),National!$L$6,IF(ISNUMBER(SEARCH("Green",B14)),National!$L$7,IF(OR(ISNUMBER(SEARCH("Liberal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Dem",B14))),National!$L$8,National!$L$9))))),0)</f>
        <v>305</v>
      </c>
      <c r="I14" s="25" t="n">
        <f aca="false">H14/SUMIFS(H:H,A:A,A14)</f>
        <v>0.0825663237682729</v>
      </c>
      <c r="J14" s="29" t="n">
        <f aca="false">ROUND(I14*SUMIF(A:A,A14,D:D),0)</f>
        <v>488</v>
      </c>
      <c r="K14" s="24" t="n">
        <f aca="false">ROUND(AVERAGEIFS(J:J,A:A,A14,B:B,B14)/COUNTIFS(B:B,B14,A:A,A14),0)</f>
        <v>178</v>
      </c>
      <c r="L14" s="25" t="n">
        <f aca="false">K14/SUMIF(A:A,A14,K:K)</f>
        <v>0.054601226993865</v>
      </c>
      <c r="M14" s="1" t="n">
        <f aca="false">ROUND(SUMIF(A:A,A14,J:J)*L14,0)</f>
        <v>323</v>
      </c>
      <c r="N14" s="1" t="str">
        <f aca="false">IF(O14=1,"Yes",IF(AND(O14&gt;1,SUMIFS(L:L,B:B,"&lt;&gt;Green",A:A,A14)+5%&gt;=SUMIFS(L:L,A:A,A14,B:B,"&lt;&gt;Green",O:O,1)),"No","Yes"))</f>
        <v>No</v>
      </c>
      <c r="O14" s="1" t="n">
        <f aca="false">COUNTIFS(A:A,A14,P:P,"&gt;"&amp;P14)+1</f>
        <v>6</v>
      </c>
      <c r="P14" s="25" t="n">
        <f aca="false">SUMIFS(L:L,A:A,A14,B:B,B14)</f>
        <v>0.163803680981595</v>
      </c>
    </row>
    <row r="15" customFormat="false" ht="13.8" hidden="false" customHeight="false" outlineLevel="0" collapsed="false">
      <c r="A15" s="1" t="s">
        <v>248</v>
      </c>
      <c r="B15" s="30" t="s">
        <v>219</v>
      </c>
      <c r="C15" s="1" t="s">
        <v>255</v>
      </c>
      <c r="D15" s="1" t="n">
        <v>336</v>
      </c>
      <c r="E15" s="25" t="n">
        <v>0.153</v>
      </c>
      <c r="F15" s="1" t="n">
        <v>2201</v>
      </c>
      <c r="G15" s="1" t="n">
        <v>10525</v>
      </c>
      <c r="H15" s="28" t="n">
        <f aca="false">ROUND(D15*IF(ISNUMBER(SEARCH("Labour",B15)),National!$L$4,IF(ISNUMBER(SEARCH("Conservative",B15)),National!$L$5,IF(OR(ISNUMBER(SEARCH("Reform",B15)),ISNUMBER(SEARCH("RefUK",B15))),National!$L$6,IF(ISNUMBER(SEARCH("Green",B15)),National!$L$7,IF(OR(ISNUMBER(SEARCH("Liberal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Dem",B15))),National!$L$8,National!$L$9))))),0)</f>
        <v>798</v>
      </c>
      <c r="I15" s="25" t="n">
        <f aca="false">H15/SUMIFS(H:H,A:A,A15)</f>
        <v>0.216025988088793</v>
      </c>
      <c r="J15" s="29" t="n">
        <f aca="false">ROUND(I15*SUMIF(A:A,A15,D:D),0)</f>
        <v>1276</v>
      </c>
      <c r="K15" s="24" t="n">
        <f aca="false">ROUND(AVERAGEIFS(J:J,A:A,A15,B:B,B15)/COUNTIFS(B:B,B15,A:A,A15),0)</f>
        <v>1276</v>
      </c>
      <c r="L15" s="25" t="n">
        <f aca="false">K15/SUMIF(A:A,A15,K:K)</f>
        <v>0.391411042944785</v>
      </c>
      <c r="M15" s="1" t="n">
        <f aca="false">ROUND(SUMIF(A:A,A15,J:J)*L15,0)</f>
        <v>2312</v>
      </c>
      <c r="N15" s="1" t="str">
        <f aca="false">IF(O15=1,"Yes",IF(AND(O15&gt;1,SUMIFS(L:L,B:B,"&lt;&gt;Green",A:A,A15)+5%&gt;=SUMIFS(L:L,A:A,A15,B:B,"&lt;&gt;Green",O:O,1)),"No","Yes"))</f>
        <v>Yes</v>
      </c>
      <c r="O15" s="1" t="n">
        <f aca="false">COUNTIFS(A:A,A15,P:P,"&gt;"&amp;P15)+1</f>
        <v>1</v>
      </c>
      <c r="P15" s="25" t="n">
        <f aca="false">SUMIFS(L:L,A:A,A15,B:B,B15)</f>
        <v>0.391411042944785</v>
      </c>
    </row>
    <row r="16" customFormat="false" ht="13.8" hidden="false" customHeight="false" outlineLevel="0" collapsed="false">
      <c r="A16" s="1" t="s">
        <v>248</v>
      </c>
      <c r="B16" s="27" t="s">
        <v>19</v>
      </c>
      <c r="C16" s="1" t="s">
        <v>256</v>
      </c>
      <c r="D16" s="1" t="n">
        <v>295</v>
      </c>
      <c r="E16" s="25" t="n">
        <v>0.134</v>
      </c>
      <c r="F16" s="1" t="n">
        <v>2201</v>
      </c>
      <c r="G16" s="1" t="n">
        <v>10525</v>
      </c>
      <c r="H16" s="28" t="n">
        <f aca="false">ROUND(D16*IF(ISNUMBER(SEARCH("Labour",B16)),National!$L$4,IF(ISNUMBER(SEARCH("Conservative",B16)),National!$L$5,IF(OR(ISNUMBER(SEARCH("Reform",B16)),ISNUMBER(SEARCH("RefUK",B16))),National!$L$6,IF(ISNUMBER(SEARCH("Green",B16)),National!$L$7,IF(OR(ISNUMBER(SEARCH("Liberal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Dem",B16))),National!$L$8,National!$L$9))))),0)</f>
        <v>413</v>
      </c>
      <c r="I16" s="25" t="n">
        <f aca="false">H16/SUMIFS(H:H,A:A,A16)</f>
        <v>0.111802923659989</v>
      </c>
      <c r="J16" s="29" t="n">
        <f aca="false">ROUND(I16*SUMIF(A:A,A16,D:D),0)</f>
        <v>661</v>
      </c>
      <c r="K16" s="24" t="n">
        <f aca="false">ROUND(AVERAGEIFS(J:J,A:A,A16,B:B,B16)/COUNTIFS(B:B,B16,A:A,A16),0)</f>
        <v>661</v>
      </c>
      <c r="L16" s="25" t="n">
        <f aca="false">K16/SUMIF(A:A,A16,K:K)</f>
        <v>0.202760736196319</v>
      </c>
      <c r="M16" s="1" t="n">
        <f aca="false">ROUND(SUMIF(A:A,A16,J:J)*L16,0)</f>
        <v>1198</v>
      </c>
      <c r="N16" s="1" t="str">
        <f aca="false">IF(O16=1,"Yes",IF(AND(O16&gt;1,SUMIFS(L:L,B:B,"&lt;&gt;Green",A:A,A16)+5%&gt;=SUMIFS(L:L,A:A,A16,B:B,"&lt;&gt;Green",O:O,1)),"No","Yes"))</f>
        <v>No</v>
      </c>
      <c r="O16" s="1" t="n">
        <f aca="false">COUNTIFS(A:A,A16,P:P,"&gt;"&amp;P16)+1</f>
        <v>5</v>
      </c>
      <c r="P16" s="25" t="n">
        <f aca="false">SUMIFS(L:L,A:A,A16,B:B,B16)</f>
        <v>0.202760736196319</v>
      </c>
    </row>
    <row r="17" customFormat="false" ht="13.8" hidden="false" customHeight="false" outlineLevel="0" collapsed="false">
      <c r="A17" s="1" t="s">
        <v>257</v>
      </c>
      <c r="B17" s="27" t="s">
        <v>241</v>
      </c>
      <c r="C17" s="1" t="s">
        <v>258</v>
      </c>
      <c r="D17" s="1" t="n">
        <v>880</v>
      </c>
      <c r="E17" s="25" t="n">
        <v>0.464</v>
      </c>
      <c r="F17" s="1" t="n">
        <v>1895</v>
      </c>
      <c r="G17" s="1" t="n">
        <v>6129</v>
      </c>
      <c r="H17" s="28" t="n">
        <f aca="false">ROUND(D17*IF(ISNUMBER(SEARCH("Labour",B17)),National!$L$4,IF(ISNUMBER(SEARCH("Conservative",B17)),National!$L$5,IF(OR(ISNUMBER(SEARCH("Reform",B17)),ISNUMBER(SEARCH("RefUK",B17))),National!$L$6,IF(ISNUMBER(SEARCH("Green",B17)),National!$L$7,IF(OR(ISNUMBER(SEARCH("Liberal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Dem",B17))),National!$L$8,National!$L$9))))),0)</f>
        <v>575</v>
      </c>
      <c r="I17" s="25" t="n">
        <f aca="false">H17/SUMIFS(H:H,A:A,A17)</f>
        <v>0.137955854126679</v>
      </c>
      <c r="J17" s="29" t="n">
        <f aca="false">ROUND(I17*SUMIF(A:A,A17,D:D),0)</f>
        <v>497</v>
      </c>
      <c r="K17" s="24" t="n">
        <f aca="false">ROUND(AVERAGEIFS(J:J,A:A,A17,B:B,B17)/COUNTIFS(B:B,B17,A:A,A17),0)</f>
        <v>221</v>
      </c>
      <c r="L17" s="25" t="n">
        <f aca="false">K17/SUMIF(A:A,A17,K:K)</f>
        <v>0.119588744588745</v>
      </c>
      <c r="M17" s="1" t="n">
        <f aca="false">ROUND(SUMIF(A:A,A17,J:J)*L17,0)</f>
        <v>431</v>
      </c>
      <c r="N17" s="1" t="str">
        <f aca="false">IF(O17=1,"Yes",IF(AND(O17&gt;1,SUMIFS(L:L,B:B,"&lt;&gt;Green",A:A,A17)+5%&gt;=SUMIFS(L:L,A:A,A17,B:B,"&lt;&gt;Green",O:O,1)),"No","Yes"))</f>
        <v>No</v>
      </c>
      <c r="O17" s="1" t="n">
        <f aca="false">COUNTIFS(A:A,A17,P:P,"&gt;"&amp;P17)+1</f>
        <v>3</v>
      </c>
      <c r="P17" s="25" t="n">
        <f aca="false">SUMIFS(L:L,A:A,A17,B:B,B17)</f>
        <v>0.239177489177489</v>
      </c>
    </row>
    <row r="18" customFormat="false" ht="13.8" hidden="false" customHeight="false" outlineLevel="0" collapsed="false">
      <c r="A18" s="1" t="s">
        <v>257</v>
      </c>
      <c r="B18" s="27" t="s">
        <v>241</v>
      </c>
      <c r="C18" s="1" t="s">
        <v>259</v>
      </c>
      <c r="D18" s="1" t="n">
        <v>685</v>
      </c>
      <c r="E18" s="25" t="n">
        <v>0.361</v>
      </c>
      <c r="F18" s="1" t="n">
        <v>1895</v>
      </c>
      <c r="G18" s="1" t="n">
        <v>6129</v>
      </c>
      <c r="H18" s="28" t="n">
        <f aca="false">ROUND(D18*IF(ISNUMBER(SEARCH("Labour",B18)),National!$L$4,IF(ISNUMBER(SEARCH("Conservative",B18)),National!$L$5,IF(OR(ISNUMBER(SEARCH("Reform",B18)),ISNUMBER(SEARCH("RefUK",B18))),National!$L$6,IF(ISNUMBER(SEARCH("Green",B18)),National!$L$7,IF(OR(ISNUMBER(SEARCH("Liberal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Dem",B18))),National!$L$8,National!$L$9))))),0)</f>
        <v>448</v>
      </c>
      <c r="I18" s="25" t="n">
        <f aca="false">H18/SUMIFS(H:H,A:A,A18)</f>
        <v>0.107485604606526</v>
      </c>
      <c r="J18" s="29" t="n">
        <f aca="false">ROUND(I18*SUMIF(A:A,A18,D:D),0)</f>
        <v>388</v>
      </c>
      <c r="K18" s="24" t="n">
        <f aca="false">ROUND(AVERAGEIFS(J:J,A:A,A18,B:B,B18)/COUNTIFS(B:B,B18,A:A,A18),0)</f>
        <v>221</v>
      </c>
      <c r="L18" s="25" t="n">
        <f aca="false">K18/SUMIF(A:A,A18,K:K)</f>
        <v>0.119588744588745</v>
      </c>
      <c r="M18" s="1" t="n">
        <f aca="false">ROUND(SUMIF(A:A,A18,J:J)*L18,0)</f>
        <v>431</v>
      </c>
      <c r="N18" s="1" t="str">
        <f aca="false">IF(O18=1,"Yes",IF(AND(O18&gt;1,SUMIFS(L:L,B:B,"&lt;&gt;Green",A:A,A18)+5%&gt;=SUMIFS(L:L,A:A,A18,B:B,"&lt;&gt;Green",O:O,1)),"No","Yes"))</f>
        <v>No</v>
      </c>
      <c r="O18" s="1" t="n">
        <f aca="false">COUNTIFS(A:A,A18,P:P,"&gt;"&amp;P18)+1</f>
        <v>3</v>
      </c>
      <c r="P18" s="25" t="n">
        <f aca="false">SUMIFS(L:L,A:A,A18,B:B,B18)</f>
        <v>0.239177489177489</v>
      </c>
    </row>
    <row r="19" customFormat="false" ht="13.8" hidden="false" customHeight="false" outlineLevel="0" collapsed="false">
      <c r="A19" s="1" t="s">
        <v>257</v>
      </c>
      <c r="B19" s="30" t="s">
        <v>219</v>
      </c>
      <c r="C19" s="1" t="s">
        <v>260</v>
      </c>
      <c r="D19" s="1" t="n">
        <v>641</v>
      </c>
      <c r="E19" s="25" t="n">
        <v>0.338</v>
      </c>
      <c r="F19" s="1" t="n">
        <v>1895</v>
      </c>
      <c r="G19" s="1" t="n">
        <v>6129</v>
      </c>
      <c r="H19" s="28" t="n">
        <f aca="false">ROUND(D19*IF(ISNUMBER(SEARCH("Labour",B19)),National!$L$4,IF(ISNUMBER(SEARCH("Conservative",B19)),National!$L$5,IF(OR(ISNUMBER(SEARCH("Reform",B19)),ISNUMBER(SEARCH("RefUK",B19))),National!$L$6,IF(ISNUMBER(SEARCH("Green",B19)),National!$L$7,IF(OR(ISNUMBER(SEARCH("Liberal Democrat",B19)),ISNUMBER(SEARCH("Lib Dem",B19))),National!$L$8,National!$L$9))))),0)</f>
        <v>1522</v>
      </c>
      <c r="I19" s="25" t="n">
        <f aca="false">H19/SUMIFS(H:H,A:A,A19)</f>
        <v>0.365163147792706</v>
      </c>
      <c r="J19" s="29" t="n">
        <f aca="false">ROUND(I19*SUMIF(A:A,A19,D:D),0)</f>
        <v>1317</v>
      </c>
      <c r="K19" s="24" t="n">
        <f aca="false">ROUND(AVERAGEIFS(J:J,A:A,A19,B:B,B19)/COUNTIFS(B:B,B19,A:A,A19),0)</f>
        <v>587</v>
      </c>
      <c r="L19" s="25" t="n">
        <f aca="false">K19/SUMIF(A:A,A19,K:K)</f>
        <v>0.317640692640693</v>
      </c>
      <c r="M19" s="1" t="n">
        <f aca="false">ROUND(SUMIF(A:A,A19,J:J)*L19,0)</f>
        <v>1145</v>
      </c>
      <c r="N19" s="1" t="str">
        <f aca="false">IF(O19=1,"Yes",IF(AND(O19&gt;1,SUMIFS(L:L,B:B,"&lt;&gt;Green",A:A,A19)+5%&gt;=SUMIFS(L:L,A:A,A19,B:B,"&lt;&gt;Green",O:O,1)),"No","Yes"))</f>
        <v>Yes</v>
      </c>
      <c r="O19" s="1" t="n">
        <f aca="false">COUNTIFS(A:A,A19,P:P,"&gt;"&amp;P19)+1</f>
        <v>1</v>
      </c>
      <c r="P19" s="25" t="n">
        <f aca="false">SUMIFS(L:L,A:A,A19,B:B,B19)</f>
        <v>0.635281385281385</v>
      </c>
    </row>
    <row r="20" customFormat="false" ht="13.8" hidden="false" customHeight="false" outlineLevel="0" collapsed="false">
      <c r="A20" s="1" t="s">
        <v>257</v>
      </c>
      <c r="B20" s="30" t="s">
        <v>219</v>
      </c>
      <c r="C20" s="1" t="s">
        <v>261</v>
      </c>
      <c r="D20" s="1" t="n">
        <v>502</v>
      </c>
      <c r="E20" s="25" t="n">
        <v>0.265</v>
      </c>
      <c r="F20" s="1" t="n">
        <v>1895</v>
      </c>
      <c r="G20" s="1" t="n">
        <v>6129</v>
      </c>
      <c r="H20" s="28" t="n">
        <f aca="false">ROUND(D20*IF(ISNUMBER(SEARCH("Labour",B20)),National!$L$4,IF(ISNUMBER(SEARCH("Conservative",B20)),National!$L$5,IF(OR(ISNUMBER(SEARCH("Reform",B20)),ISNUMBER(SEARCH("RefUK",B20))),National!$L$6,IF(ISNUMBER(SEARCH("Green",B20)),National!$L$7,IF(OR(ISNUMBER(SEARCH("Liberal Democrat",B20)),ISNUMBER(SEARCH("Lib Dem",B20))),National!$L$8,National!$L$9))))),0)</f>
        <v>1192</v>
      </c>
      <c r="I20" s="25" t="n">
        <f aca="false">H20/SUMIFS(H:H,A:A,A20)</f>
        <v>0.285988483685221</v>
      </c>
      <c r="J20" s="29" t="n">
        <f aca="false">ROUND(I20*SUMIF(A:A,A20,D:D),0)</f>
        <v>1031</v>
      </c>
      <c r="K20" s="24" t="n">
        <f aca="false">ROUND(AVERAGEIFS(J:J,A:A,A20,B:B,B20)/COUNTIFS(B:B,B20,A:A,A20),0)</f>
        <v>587</v>
      </c>
      <c r="L20" s="25" t="n">
        <f aca="false">K20/SUMIF(A:A,A20,K:K)</f>
        <v>0.317640692640693</v>
      </c>
      <c r="M20" s="1" t="n">
        <f aca="false">ROUND(SUMIF(A:A,A20,J:J)*L20,0)</f>
        <v>1145</v>
      </c>
      <c r="N20" s="1" t="str">
        <f aca="false">IF(O20=1,"Yes",IF(AND(O20&gt;1,SUMIFS(L:L,B:B,"&lt;&gt;Green",A:A,A20)+5%&gt;=SUMIFS(L:L,A:A,A20,B:B,"&lt;&gt;Green",O:O,1)),"No","Yes"))</f>
        <v>Yes</v>
      </c>
      <c r="O20" s="1" t="n">
        <f aca="false">COUNTIFS(A:A,A20,P:P,"&gt;"&amp;P20)+1</f>
        <v>1</v>
      </c>
      <c r="P20" s="25" t="n">
        <f aca="false">SUMIFS(L:L,A:A,A20,B:B,B20)</f>
        <v>0.635281385281385</v>
      </c>
    </row>
    <row r="21" customFormat="false" ht="13.8" hidden="false" customHeight="false" outlineLevel="0" collapsed="false">
      <c r="A21" s="1" t="s">
        <v>257</v>
      </c>
      <c r="B21" s="27" t="s">
        <v>216</v>
      </c>
      <c r="C21" s="1" t="s">
        <v>262</v>
      </c>
      <c r="D21" s="1" t="n">
        <v>414</v>
      </c>
      <c r="E21" s="25" t="n">
        <v>0.218</v>
      </c>
      <c r="F21" s="1" t="n">
        <v>1895</v>
      </c>
      <c r="G21" s="1" t="n">
        <v>6129</v>
      </c>
      <c r="H21" s="28" t="n">
        <f aca="false">ROUND(D21*IF(ISNUMBER(SEARCH("Labour",B21)),National!$L$4,IF(ISNUMBER(SEARCH("Conservative",B21)),National!$L$5,IF(OR(ISNUMBER(SEARCH("Reform",B21)),ISNUMBER(SEARCH("RefUK",B21))),National!$L$6,IF(ISNUMBER(SEARCH("Green",B21)),National!$L$7,IF(OR(ISNUMBER(SEARCH("Liberal Democrat",B21)),ISNUMBER(SEARCH("Lib Dem",B21))),National!$L$8,National!$L$9))))),0)</f>
        <v>164</v>
      </c>
      <c r="I21" s="25" t="n">
        <f aca="false">H21/SUMIFS(H:H,A:A,A21)</f>
        <v>0.0393474088291747</v>
      </c>
      <c r="J21" s="29" t="n">
        <f aca="false">ROUND(I21*SUMIF(A:A,A21,D:D),0)</f>
        <v>142</v>
      </c>
      <c r="K21" s="24" t="n">
        <f aca="false">ROUND(AVERAGEIFS(J:J,A:A,A21,B:B,B21)/COUNTIFS(B:B,B21,A:A,A21),0)</f>
        <v>70</v>
      </c>
      <c r="L21" s="25" t="n">
        <f aca="false">K21/SUMIF(A:A,A21,K:K)</f>
        <v>0.0378787878787879</v>
      </c>
      <c r="M21" s="1" t="n">
        <f aca="false">ROUND(SUMIF(A:A,A21,J:J)*L21,0)</f>
        <v>137</v>
      </c>
      <c r="N21" s="1" t="str">
        <f aca="false">IF(O21=1,"Yes",IF(AND(O21&gt;1,SUMIFS(L:L,B:B,"&lt;&gt;Green",A:A,A21)+5%&gt;=SUMIFS(L:L,A:A,A21,B:B,"&lt;&gt;Green",O:O,1)),"No","Yes"))</f>
        <v>No</v>
      </c>
      <c r="O21" s="1" t="n">
        <f aca="false">COUNTIFS(A:A,A21,P:P,"&gt;"&amp;P21)+1</f>
        <v>5</v>
      </c>
      <c r="P21" s="25" t="n">
        <f aca="false">SUMIFS(L:L,A:A,A21,B:B,B21)</f>
        <v>0.0757575757575758</v>
      </c>
    </row>
    <row r="22" customFormat="false" ht="13.8" hidden="false" customHeight="false" outlineLevel="0" collapsed="false">
      <c r="A22" s="1" t="s">
        <v>257</v>
      </c>
      <c r="B22" s="27" t="s">
        <v>216</v>
      </c>
      <c r="C22" s="1" t="s">
        <v>263</v>
      </c>
      <c r="D22" s="1" t="n">
        <v>408</v>
      </c>
      <c r="E22" s="25" t="n">
        <v>0.215</v>
      </c>
      <c r="F22" s="1" t="n">
        <v>1895</v>
      </c>
      <c r="G22" s="1" t="n">
        <v>6129</v>
      </c>
      <c r="H22" s="28" t="n">
        <f aca="false">ROUND(D22*IF(ISNUMBER(SEARCH("Labour",B22)),National!$L$4,IF(ISNUMBER(SEARCH("Conservative",B22)),National!$L$5,IF(OR(ISNUMBER(SEARCH("Reform",B22)),ISNUMBER(SEARCH("RefUK",B22))),National!$L$6,IF(ISNUMBER(SEARCH("Green",B22)),National!$L$7,IF(OR(ISNUMBER(SEARCH("Liberal Democrat",B22)),ISNUMBER(SEARCH("Lib Dem",B22))),National!$L$8,National!$L$9))))),0)</f>
        <v>161</v>
      </c>
      <c r="I22" s="25" t="n">
        <f aca="false">H22/SUMIFS(H:H,A:A,A22)</f>
        <v>0.0386276391554702</v>
      </c>
      <c r="J22" s="29" t="n">
        <f aca="false">ROUND(I22*SUMIF(A:A,A22,D:D),0)</f>
        <v>139</v>
      </c>
      <c r="K22" s="24" t="n">
        <f aca="false">ROUND(AVERAGEIFS(J:J,A:A,A22,B:B,B22)/COUNTIFS(B:B,B22,A:A,A22),0)</f>
        <v>70</v>
      </c>
      <c r="L22" s="25" t="n">
        <f aca="false">K22/SUMIF(A:A,A22,K:K)</f>
        <v>0.0378787878787879</v>
      </c>
      <c r="M22" s="1" t="n">
        <f aca="false">ROUND(SUMIF(A:A,A22,J:J)*L22,0)</f>
        <v>137</v>
      </c>
      <c r="N22" s="1" t="str">
        <f aca="false">IF(O22=1,"Yes",IF(AND(O22&gt;1,SUMIFS(L:L,B:B,"&lt;&gt;Green",A:A,A22)+5%&gt;=SUMIFS(L:L,A:A,A22,B:B,"&lt;&gt;Green",O:O,1)),"No","Yes"))</f>
        <v>No</v>
      </c>
      <c r="O22" s="1" t="n">
        <f aca="false">COUNTIFS(A:A,A22,P:P,"&gt;"&amp;P22)+1</f>
        <v>5</v>
      </c>
      <c r="P22" s="25" t="n">
        <f aca="false">SUMIFS(L:L,A:A,A22,B:B,B22)</f>
        <v>0.0757575757575758</v>
      </c>
    </row>
    <row r="23" customFormat="false" ht="13.8" hidden="false" customHeight="false" outlineLevel="0" collapsed="false">
      <c r="A23" s="1" t="s">
        <v>257</v>
      </c>
      <c r="B23" s="27" t="s">
        <v>19</v>
      </c>
      <c r="C23" s="1" t="s">
        <v>264</v>
      </c>
      <c r="D23" s="1" t="n">
        <v>76</v>
      </c>
      <c r="E23" s="25" t="n">
        <v>0.04</v>
      </c>
      <c r="F23" s="1" t="n">
        <v>1895</v>
      </c>
      <c r="G23" s="1" t="n">
        <v>6129</v>
      </c>
      <c r="H23" s="28" t="n">
        <f aca="false">ROUND(D23*IF(ISNUMBER(SEARCH("Labour",B23)),National!$L$4,IF(ISNUMBER(SEARCH("Conservative",B23)),National!$L$5,IF(OR(ISNUMBER(SEARCH("Reform",B23)),ISNUMBER(SEARCH("RefUK",B23))),National!$L$6,IF(ISNUMBER(SEARCH("Green",B23)),National!$L$7,IF(OR(ISNUMBER(SEARCH("Liberal Democrat",B23)),ISNUMBER(SEARCH("Lib Dem",B23))),National!$L$8,National!$L$9))))),0)</f>
        <v>106</v>
      </c>
      <c r="I23" s="25" t="n">
        <f aca="false">H23/SUMIFS(H:H,A:A,A23)</f>
        <v>0.0254318618042227</v>
      </c>
      <c r="J23" s="29" t="n">
        <f aca="false">ROUND(I23*SUMIF(A:A,A23,D:D),0)</f>
        <v>92</v>
      </c>
      <c r="K23" s="24" t="n">
        <f aca="false">ROUND(AVERAGEIFS(J:J,A:A,A23,B:B,B23)/COUNTIFS(B:B,B23,A:A,A23),0)</f>
        <v>92</v>
      </c>
      <c r="L23" s="25" t="n">
        <f aca="false">K23/SUMIF(A:A,A23,K:K)</f>
        <v>0.0497835497835498</v>
      </c>
      <c r="M23" s="1" t="n">
        <f aca="false">ROUND(SUMIF(A:A,A23,J:J)*L23,0)</f>
        <v>180</v>
      </c>
      <c r="N23" s="1" t="str">
        <f aca="false">IF(O23=1,"Yes",IF(AND(O23&gt;1,SUMIFS(L:L,B:B,"&lt;&gt;Green",A:A,A23)+5%&gt;=SUMIFS(L:L,A:A,A23,B:B,"&lt;&gt;Green",O:O,1)),"No","Yes"))</f>
        <v>No</v>
      </c>
      <c r="O23" s="1" t="n">
        <f aca="false">COUNTIFS(A:A,A23,P:P,"&gt;"&amp;P23)+1</f>
        <v>7</v>
      </c>
      <c r="P23" s="25" t="n">
        <f aca="false">SUMIFS(L:L,A:A,A23,B:B,B23)</f>
        <v>0.0497835497835498</v>
      </c>
    </row>
    <row r="24" customFormat="false" ht="13.8" hidden="false" customHeight="false" outlineLevel="0" collapsed="false">
      <c r="A24" s="1" t="s">
        <v>265</v>
      </c>
      <c r="B24" s="27" t="s">
        <v>241</v>
      </c>
      <c r="C24" s="1" t="s">
        <v>266</v>
      </c>
      <c r="D24" s="1" t="n">
        <v>489</v>
      </c>
      <c r="E24" s="25" t="n">
        <v>0.452</v>
      </c>
      <c r="F24" s="1" t="n">
        <v>1090</v>
      </c>
      <c r="G24" s="1" t="n">
        <v>3530</v>
      </c>
      <c r="H24" s="28" t="n">
        <f aca="false">ROUND(D24*IF(ISNUMBER(SEARCH("Labour",B24)),National!$L$4,IF(ISNUMBER(SEARCH("Conservative",B24)),National!$L$5,IF(OR(ISNUMBER(SEARCH("Reform",B24)),ISNUMBER(SEARCH("RefUK",B24))),National!$L$6,IF(ISNUMBER(SEARCH("Green",B24)),National!$L$7,IF(OR(ISNUMBER(SEARCH("Liberal Democrat",B24)),ISNUMBER(SEARCH("Lib Dem",B24))),National!$L$8,National!$L$9))))),0)</f>
        <v>320</v>
      </c>
      <c r="I24" s="25" t="n">
        <f aca="false">H24/SUMIFS(H:H,A:A,A24)</f>
        <v>0.328542094455852</v>
      </c>
      <c r="J24" s="29" t="n">
        <f aca="false">ROUND(I24*SUMIF(A:A,A24,D:D),0)</f>
        <v>355</v>
      </c>
      <c r="K24" s="24" t="n">
        <f aca="false">ROUND(AVERAGEIFS(J:J,A:A,A24,B:B,B24)/COUNTIFS(B:B,B24,A:A,A24),0)</f>
        <v>355</v>
      </c>
      <c r="L24" s="25" t="n">
        <f aca="false">K24/SUMIF(A:A,A24,K:K)</f>
        <v>0.328399629972248</v>
      </c>
      <c r="M24" s="1" t="n">
        <f aca="false">ROUND(SUMIF(A:A,A24,J:J)*L24,0)</f>
        <v>355</v>
      </c>
      <c r="N24" s="1" t="str">
        <f aca="false">IF(O24=1,"Yes",IF(AND(O24&gt;1,SUMIFS(L:L,B:B,"&lt;&gt;Green",A:A,A24)+5%&gt;=SUMIFS(L:L,A:A,A24,B:B,"&lt;&gt;Green",O:O,1)),"No","Yes"))</f>
        <v>No</v>
      </c>
      <c r="O24" s="1" t="n">
        <f aca="false">COUNTIFS(A:A,A24,P:P,"&gt;"&amp;P24)+1</f>
        <v>2</v>
      </c>
      <c r="P24" s="25" t="n">
        <f aca="false">SUMIFS(L:L,A:A,A24,B:B,B24)</f>
        <v>0.328399629972248</v>
      </c>
    </row>
    <row r="25" customFormat="false" ht="13.8" hidden="false" customHeight="false" outlineLevel="0" collapsed="false">
      <c r="A25" s="1" t="s">
        <v>265</v>
      </c>
      <c r="B25" s="27" t="s">
        <v>19</v>
      </c>
      <c r="C25" s="1" t="s">
        <v>267</v>
      </c>
      <c r="D25" s="1" t="n">
        <v>344</v>
      </c>
      <c r="E25" s="25" t="n">
        <v>0.318</v>
      </c>
      <c r="F25" s="1" t="n">
        <v>1090</v>
      </c>
      <c r="G25" s="1" t="n">
        <v>3530</v>
      </c>
      <c r="H25" s="28" t="n">
        <f aca="false">ROUND(D25*IF(ISNUMBER(SEARCH("Labour",B25)),National!$L$4,IF(ISNUMBER(SEARCH("Conservative",B25)),National!$L$5,IF(OR(ISNUMBER(SEARCH("Reform",B25)),ISNUMBER(SEARCH("RefUK",B25))),National!$L$6,IF(ISNUMBER(SEARCH("Green",B25)),National!$L$7,IF(OR(ISNUMBER(SEARCH("Liberal Democrat",B25)),ISNUMBER(SEARCH("Lib Dem",B25))),National!$L$8,National!$L$9))))),0)</f>
        <v>482</v>
      </c>
      <c r="I25" s="25" t="n">
        <f aca="false">H25/SUMIFS(H:H,A:A,A25)</f>
        <v>0.494866529774127</v>
      </c>
      <c r="J25" s="29" t="n">
        <f aca="false">ROUND(I25*SUMIF(A:A,A25,D:D),0)</f>
        <v>535</v>
      </c>
      <c r="K25" s="24" t="n">
        <f aca="false">ROUND(AVERAGEIFS(J:J,A:A,A25,B:B,B25)/COUNTIFS(B:B,B25,A:A,A25),0)</f>
        <v>535</v>
      </c>
      <c r="L25" s="25" t="n">
        <f aca="false">K25/SUMIF(A:A,A25,K:K)</f>
        <v>0.494912118408881</v>
      </c>
      <c r="M25" s="1" t="n">
        <f aca="false">ROUND(SUMIF(A:A,A25,J:J)*L25,0)</f>
        <v>535</v>
      </c>
      <c r="N25" s="1" t="str">
        <f aca="false">IF(O25=1,"Yes",IF(AND(O25&gt;1,SUMIFS(L:L,B:B,"&lt;&gt;Green",A:A,A25)+5%&gt;=SUMIFS(L:L,A:A,A25,B:B,"&lt;&gt;Green",O:O,1)),"No","Yes"))</f>
        <v>Yes</v>
      </c>
      <c r="O25" s="1" t="n">
        <f aca="false">COUNTIFS(A:A,A25,P:P,"&gt;"&amp;P25)+1</f>
        <v>1</v>
      </c>
      <c r="P25" s="25" t="n">
        <f aca="false">SUMIFS(L:L,A:A,A25,B:B,B25)</f>
        <v>0.494912118408881</v>
      </c>
    </row>
    <row r="26" customFormat="false" ht="13.8" hidden="false" customHeight="false" outlineLevel="0" collapsed="false">
      <c r="A26" s="1" t="s">
        <v>265</v>
      </c>
      <c r="B26" s="27" t="s">
        <v>216</v>
      </c>
      <c r="C26" s="1" t="s">
        <v>268</v>
      </c>
      <c r="D26" s="1" t="n">
        <v>212</v>
      </c>
      <c r="E26" s="25" t="n">
        <v>0.196</v>
      </c>
      <c r="F26" s="1" t="n">
        <v>1090</v>
      </c>
      <c r="G26" s="1" t="n">
        <v>3530</v>
      </c>
      <c r="H26" s="28" t="n">
        <f aca="false">ROUND(D26*IF(ISNUMBER(SEARCH("Labour",B26)),National!$L$4,IF(ISNUMBER(SEARCH("Conservative",B26)),National!$L$5,IF(OR(ISNUMBER(SEARCH("Reform",B26)),ISNUMBER(SEARCH("RefUK",B26))),National!$L$6,IF(ISNUMBER(SEARCH("Green",B26)),National!$L$7,IF(OR(ISNUMBER(SEARCH("Liberal Democrat",B26)),ISNUMBER(SEARCH("Lib Dem",B26))),National!$L$8,National!$L$9))))),0)</f>
        <v>84</v>
      </c>
      <c r="I26" s="25" t="n">
        <f aca="false">H26/SUMIFS(H:H,A:A,A26)</f>
        <v>0.0862422997946612</v>
      </c>
      <c r="J26" s="29" t="n">
        <f aca="false">ROUND(I26*SUMIF(A:A,A26,D:D),0)</f>
        <v>93</v>
      </c>
      <c r="K26" s="24" t="n">
        <f aca="false">ROUND(AVERAGEIFS(J:J,A:A,A26,B:B,B26)/COUNTIFS(B:B,B26,A:A,A26),0)</f>
        <v>93</v>
      </c>
      <c r="L26" s="25" t="n">
        <f aca="false">K26/SUMIF(A:A,A26,K:K)</f>
        <v>0.0860314523589269</v>
      </c>
      <c r="M26" s="1" t="n">
        <f aca="false">ROUND(SUMIF(A:A,A26,J:J)*L26,0)</f>
        <v>93</v>
      </c>
      <c r="N26" s="1" t="str">
        <f aca="false">IF(O26=1,"Yes",IF(AND(O26&gt;1,SUMIFS(L:L,B:B,"&lt;&gt;Green",A:A,A26)+5%&gt;=SUMIFS(L:L,A:A,A26,B:B,"&lt;&gt;Green",O:O,1)),"No","Yes"))</f>
        <v>No</v>
      </c>
      <c r="O26" s="1" t="n">
        <f aca="false">COUNTIFS(A:A,A26,P:P,"&gt;"&amp;P26)+1</f>
        <v>4</v>
      </c>
      <c r="P26" s="25" t="n">
        <f aca="false">SUMIFS(L:L,A:A,A26,B:B,B26)</f>
        <v>0.0860314523589269</v>
      </c>
    </row>
    <row r="27" customFormat="false" ht="13.8" hidden="false" customHeight="false" outlineLevel="0" collapsed="false">
      <c r="A27" s="1" t="s">
        <v>265</v>
      </c>
      <c r="B27" s="30" t="s">
        <v>219</v>
      </c>
      <c r="C27" s="1" t="s">
        <v>269</v>
      </c>
      <c r="D27" s="1" t="n">
        <v>37</v>
      </c>
      <c r="E27" s="25" t="n">
        <v>0.034</v>
      </c>
      <c r="F27" s="1" t="n">
        <v>1090</v>
      </c>
      <c r="G27" s="1" t="n">
        <v>3530</v>
      </c>
      <c r="H27" s="28" t="n">
        <f aca="false">ROUND(D27*IF(ISNUMBER(SEARCH("Labour",B27)),National!$L$4,IF(ISNUMBER(SEARCH("Conservative",B27)),National!$L$5,IF(OR(ISNUMBER(SEARCH("Reform",B27)),ISNUMBER(SEARCH("RefUK",B27))),National!$L$6,IF(ISNUMBER(SEARCH("Green",B27)),National!$L$7,IF(OR(ISNUMBER(SEARCH("Liberal Democrat",B27)),ISNUMBER(SEARCH("Lib Dem",B27))),National!$L$8,National!$L$9))))),0)</f>
        <v>88</v>
      </c>
      <c r="I27" s="25" t="n">
        <f aca="false">H27/SUMIFS(H:H,A:A,A27)</f>
        <v>0.0903490759753594</v>
      </c>
      <c r="J27" s="29" t="n">
        <f aca="false">ROUND(I27*SUMIF(A:A,A27,D:D),0)</f>
        <v>98</v>
      </c>
      <c r="K27" s="24" t="n">
        <f aca="false">ROUND(AVERAGEIFS(J:J,A:A,A27,B:B,B27)/COUNTIFS(B:B,B27,A:A,A27),0)</f>
        <v>98</v>
      </c>
      <c r="L27" s="25" t="n">
        <f aca="false">K27/SUMIF(A:A,A27,K:K)</f>
        <v>0.0906567992599445</v>
      </c>
      <c r="M27" s="1" t="n">
        <f aca="false">ROUND(SUMIF(A:A,A27,J:J)*L27,0)</f>
        <v>98</v>
      </c>
      <c r="N27" s="1" t="str">
        <f aca="false">IF(O27=1,"Yes",IF(AND(O27&gt;1,SUMIFS(L:L,B:B,"&lt;&gt;Green",A:A,A27)+5%&gt;=SUMIFS(L:L,A:A,A27,B:B,"&lt;&gt;Green",O:O,1)),"No","Yes"))</f>
        <v>No</v>
      </c>
      <c r="O27" s="1" t="n">
        <f aca="false">COUNTIFS(A:A,A27,P:P,"&gt;"&amp;P27)+1</f>
        <v>3</v>
      </c>
      <c r="P27" s="25" t="n">
        <f aca="false">SUMIFS(L:L,A:A,A27,B:B,B27)</f>
        <v>0.0906567992599445</v>
      </c>
    </row>
    <row r="28" customFormat="false" ht="13.8" hidden="false" customHeight="false" outlineLevel="0" collapsed="false">
      <c r="A28" s="1" t="s">
        <v>270</v>
      </c>
      <c r="B28" s="27" t="s">
        <v>249</v>
      </c>
      <c r="C28" s="1" t="s">
        <v>47</v>
      </c>
      <c r="D28" s="1" t="n">
        <v>1726</v>
      </c>
      <c r="E28" s="25" t="n">
        <v>0.558</v>
      </c>
      <c r="F28" s="1" t="n">
        <v>3094</v>
      </c>
      <c r="G28" s="1" t="n">
        <v>9170</v>
      </c>
      <c r="H28" s="28" t="n">
        <f aca="false">ROUND(D28*IF(ISNUMBER(SEARCH("Labour",B28)),National!$L$4,IF(ISNUMBER(SEARCH("Conservative",B28)),National!$L$5,IF(OR(ISNUMBER(SEARCH("Reform",B28)),ISNUMBER(SEARCH("RefUK",B28))),National!$L$6,IF(ISNUMBER(SEARCH("Green",B28)),National!$L$7,IF(OR(ISNUMBER(SEARCH("Liberal Democrat",B28)),ISNUMBER(SEARCH("Lib Dem",B28))),National!$L$8,National!$L$9))))),0)</f>
        <v>682</v>
      </c>
      <c r="I28" s="25" t="n">
        <f aca="false">H28/SUMIFS(H:H,A:A,A28)</f>
        <v>0.125482980680773</v>
      </c>
      <c r="J28" s="29" t="n">
        <f aca="false">ROUND(I28*SUMIF(A:A,A28,D:D),0)</f>
        <v>1078</v>
      </c>
      <c r="K28" s="24" t="n">
        <f aca="false">ROUND(AVERAGEIFS(J:J,A:A,A28,B:B,B28)/COUNTIFS(B:B,B28,A:A,A28),0)</f>
        <v>343</v>
      </c>
      <c r="L28" s="25" t="n">
        <f aca="false">K28/SUMIF(A:A,A28,K:K)</f>
        <v>0.0753349439929717</v>
      </c>
      <c r="M28" s="1" t="n">
        <f aca="false">ROUND(SUMIF(A:A,A28,J:J)*L28,0)</f>
        <v>647</v>
      </c>
      <c r="N28" s="1" t="str">
        <f aca="false">IF(O28=1,"Yes",IF(AND(O28&gt;1,SUMIFS(L:L,B:B,"&lt;&gt;Green",A:A,A28)+5%&gt;=SUMIFS(L:L,A:A,A28,B:B,"&lt;&gt;Green",O:O,1)),"No","Yes"))</f>
        <v>No</v>
      </c>
      <c r="O28" s="1" t="n">
        <f aca="false">COUNTIFS(A:A,A28,P:P,"&gt;"&amp;P28)+1</f>
        <v>2</v>
      </c>
      <c r="P28" s="25" t="n">
        <f aca="false">SUMIFS(L:L,A:A,A28,B:B,B28)</f>
        <v>0.226004831978915</v>
      </c>
    </row>
    <row r="29" customFormat="false" ht="13.8" hidden="false" customHeight="false" outlineLevel="0" collapsed="false">
      <c r="A29" s="1" t="s">
        <v>270</v>
      </c>
      <c r="B29" s="27" t="s">
        <v>249</v>
      </c>
      <c r="C29" s="1" t="s">
        <v>271</v>
      </c>
      <c r="D29" s="1" t="n">
        <v>1634</v>
      </c>
      <c r="E29" s="25" t="n">
        <v>0.528</v>
      </c>
      <c r="F29" s="1" t="n">
        <v>3094</v>
      </c>
      <c r="G29" s="1" t="n">
        <v>9170</v>
      </c>
      <c r="H29" s="28" t="n">
        <f aca="false">ROUND(D29*IF(ISNUMBER(SEARCH("Labour",B29)),National!$L$4,IF(ISNUMBER(SEARCH("Conservative",B29)),National!$L$5,IF(OR(ISNUMBER(SEARCH("Reform",B29)),ISNUMBER(SEARCH("RefUK",B29))),National!$L$6,IF(ISNUMBER(SEARCH("Green",B29)),National!$L$7,IF(OR(ISNUMBER(SEARCH("Liberal Democrat",B29)),ISNUMBER(SEARCH("Lib Dem",B29))),National!$L$8,National!$L$9))))),0)</f>
        <v>646</v>
      </c>
      <c r="I29" s="25" t="n">
        <f aca="false">H29/SUMIFS(H:H,A:A,A29)</f>
        <v>0.118859245630175</v>
      </c>
      <c r="J29" s="29" t="n">
        <f aca="false">ROUND(I29*SUMIF(A:A,A29,D:D),0)</f>
        <v>1021</v>
      </c>
      <c r="K29" s="24" t="n">
        <f aca="false">ROUND(AVERAGEIFS(J:J,A:A,A29,B:B,B29)/COUNTIFS(B:B,B29,A:A,A29),0)</f>
        <v>343</v>
      </c>
      <c r="L29" s="25" t="n">
        <f aca="false">K29/SUMIF(A:A,A29,K:K)</f>
        <v>0.0753349439929717</v>
      </c>
      <c r="M29" s="1" t="n">
        <f aca="false">ROUND(SUMIF(A:A,A29,J:J)*L29,0)</f>
        <v>647</v>
      </c>
      <c r="N29" s="1" t="str">
        <f aca="false">IF(O29=1,"Yes",IF(AND(O29&gt;1,SUMIFS(L:L,B:B,"&lt;&gt;Green",A:A,A29)+5%&gt;=SUMIFS(L:L,A:A,A29,B:B,"&lt;&gt;Green",O:O,1)),"No","Yes"))</f>
        <v>No</v>
      </c>
      <c r="O29" s="1" t="n">
        <f aca="false">COUNTIFS(A:A,A29,P:P,"&gt;"&amp;P29)+1</f>
        <v>2</v>
      </c>
      <c r="P29" s="25" t="n">
        <f aca="false">SUMIFS(L:L,A:A,A29,B:B,B29)</f>
        <v>0.226004831978915</v>
      </c>
    </row>
    <row r="30" customFormat="false" ht="13.8" hidden="false" customHeight="false" outlineLevel="0" collapsed="false">
      <c r="A30" s="1" t="s">
        <v>270</v>
      </c>
      <c r="B30" s="27" t="s">
        <v>249</v>
      </c>
      <c r="C30" s="1" t="s">
        <v>272</v>
      </c>
      <c r="D30" s="1" t="n">
        <v>1577</v>
      </c>
      <c r="E30" s="25" t="n">
        <v>0.51</v>
      </c>
      <c r="F30" s="1" t="n">
        <v>3094</v>
      </c>
      <c r="G30" s="1" t="n">
        <v>9170</v>
      </c>
      <c r="H30" s="28" t="n">
        <f aca="false">ROUND(D30*IF(ISNUMBER(SEARCH("Labour",B30)),National!$L$4,IF(ISNUMBER(SEARCH("Conservative",B30)),National!$L$5,IF(OR(ISNUMBER(SEARCH("Reform",B30)),ISNUMBER(SEARCH("RefUK",B30))),National!$L$6,IF(ISNUMBER(SEARCH("Green",B30)),National!$L$7,IF(OR(ISNUMBER(SEARCH("Liberal Democrat",B30)),ISNUMBER(SEARCH("Lib Dem",B30))),National!$L$8,National!$L$9))))),0)</f>
        <v>623</v>
      </c>
      <c r="I30" s="25" t="n">
        <f aca="false">H30/SUMIFS(H:H,A:A,A30)</f>
        <v>0.114627414903404</v>
      </c>
      <c r="J30" s="29" t="n">
        <f aca="false">ROUND(I30*SUMIF(A:A,A30,D:D),0)</f>
        <v>985</v>
      </c>
      <c r="K30" s="24" t="n">
        <f aca="false">ROUND(AVERAGEIFS(J:J,A:A,A30,B:B,B30)/COUNTIFS(B:B,B30,A:A,A30),0)</f>
        <v>343</v>
      </c>
      <c r="L30" s="25" t="n">
        <f aca="false">K30/SUMIF(A:A,A30,K:K)</f>
        <v>0.0753349439929717</v>
      </c>
      <c r="M30" s="1" t="n">
        <f aca="false">ROUND(SUMIF(A:A,A30,J:J)*L30,0)</f>
        <v>647</v>
      </c>
      <c r="N30" s="1" t="str">
        <f aca="false">IF(O30=1,"Yes",IF(AND(O30&gt;1,SUMIFS(L:L,B:B,"&lt;&gt;Green",A:A,A30)+5%&gt;=SUMIFS(L:L,A:A,A30,B:B,"&lt;&gt;Green",O:O,1)),"No","Yes"))</f>
        <v>No</v>
      </c>
      <c r="O30" s="1" t="n">
        <f aca="false">COUNTIFS(A:A,A30,P:P,"&gt;"&amp;P30)+1</f>
        <v>2</v>
      </c>
      <c r="P30" s="25" t="n">
        <f aca="false">SUMIFS(L:L,A:A,A30,B:B,B30)</f>
        <v>0.226004831978915</v>
      </c>
    </row>
    <row r="31" customFormat="false" ht="13.8" hidden="false" customHeight="false" outlineLevel="0" collapsed="false">
      <c r="A31" s="1" t="s">
        <v>270</v>
      </c>
      <c r="B31" s="27" t="s">
        <v>241</v>
      </c>
      <c r="C31" s="1" t="s">
        <v>273</v>
      </c>
      <c r="D31" s="1" t="n">
        <v>1028</v>
      </c>
      <c r="E31" s="25" t="n">
        <v>0.332</v>
      </c>
      <c r="F31" s="1" t="n">
        <v>3094</v>
      </c>
      <c r="G31" s="1" t="n">
        <v>9170</v>
      </c>
      <c r="H31" s="28" t="n">
        <f aca="false">ROUND(D31*IF(ISNUMBER(SEARCH("Labour",B31)),National!$L$4,IF(ISNUMBER(SEARCH("Conservative",B31)),National!$L$5,IF(OR(ISNUMBER(SEARCH("Reform",B31)),ISNUMBER(SEARCH("RefUK",B31))),National!$L$6,IF(ISNUMBER(SEARCH("Green",B31)),National!$L$7,IF(OR(ISNUMBER(SEARCH("Liberal Democrat",B31)),ISNUMBER(SEARCH("Lib Dem",B31))),National!$L$8,National!$L$9))))),0)</f>
        <v>672</v>
      </c>
      <c r="I31" s="25" t="n">
        <f aca="false">H31/SUMIFS(H:H,A:A,A31)</f>
        <v>0.123643054277829</v>
      </c>
      <c r="J31" s="29" t="n">
        <f aca="false">ROUND(I31*SUMIF(A:A,A31,D:D),0)</f>
        <v>1062</v>
      </c>
      <c r="K31" s="24" t="n">
        <f aca="false">ROUND(AVERAGEIFS(J:J,A:A,A31,B:B,B31)/COUNTIFS(B:B,B31,A:A,A31),0)</f>
        <v>331</v>
      </c>
      <c r="L31" s="25" t="n">
        <f aca="false">K31/SUMIF(A:A,A31,K:K)</f>
        <v>0.0726993191302438</v>
      </c>
      <c r="M31" s="1" t="n">
        <f aca="false">ROUND(SUMIF(A:A,A31,J:J)*L31,0)</f>
        <v>625</v>
      </c>
      <c r="N31" s="1" t="str">
        <f aca="false">IF(O31=1,"Yes",IF(AND(O31&gt;1,SUMIFS(L:L,B:B,"&lt;&gt;Green",A:A,A31)+5%&gt;=SUMIFS(L:L,A:A,A31,B:B,"&lt;&gt;Green",O:O,1)),"No","Yes"))</f>
        <v>No</v>
      </c>
      <c r="O31" s="1" t="n">
        <f aca="false">COUNTIFS(A:A,A31,P:P,"&gt;"&amp;P31)+1</f>
        <v>5</v>
      </c>
      <c r="P31" s="25" t="n">
        <f aca="false">SUMIFS(L:L,A:A,A31,B:B,B31)</f>
        <v>0.218097957390731</v>
      </c>
    </row>
    <row r="32" customFormat="false" ht="13.8" hidden="false" customHeight="false" outlineLevel="0" collapsed="false">
      <c r="A32" s="1" t="s">
        <v>270</v>
      </c>
      <c r="B32" s="27" t="s">
        <v>241</v>
      </c>
      <c r="C32" s="1" t="s">
        <v>274</v>
      </c>
      <c r="D32" s="1" t="n">
        <v>951</v>
      </c>
      <c r="E32" s="25" t="n">
        <v>0.307</v>
      </c>
      <c r="F32" s="1" t="n">
        <v>3094</v>
      </c>
      <c r="G32" s="1" t="n">
        <v>9170</v>
      </c>
      <c r="H32" s="28" t="n">
        <f aca="false">ROUND(D32*IF(ISNUMBER(SEARCH("Labour",B32)),National!$L$4,IF(ISNUMBER(SEARCH("Conservative",B32)),National!$L$5,IF(OR(ISNUMBER(SEARCH("Reform",B32)),ISNUMBER(SEARCH("RefUK",B32))),National!$L$6,IF(ISNUMBER(SEARCH("Green",B32)),National!$L$7,IF(OR(ISNUMBER(SEARCH("Liberal Democrat",B32)),ISNUMBER(SEARCH("Lib Dem",B32))),National!$L$8,National!$L$9))))),0)</f>
        <v>622</v>
      </c>
      <c r="I32" s="25" t="n">
        <f aca="false">H32/SUMIFS(H:H,A:A,A32)</f>
        <v>0.114443422263109</v>
      </c>
      <c r="J32" s="29" t="n">
        <f aca="false">ROUND(I32*SUMIF(A:A,A32,D:D),0)</f>
        <v>983</v>
      </c>
      <c r="K32" s="24" t="n">
        <f aca="false">ROUND(AVERAGEIFS(J:J,A:A,A32,B:B,B32)/COUNTIFS(B:B,B32,A:A,A32),0)</f>
        <v>331</v>
      </c>
      <c r="L32" s="25" t="n">
        <f aca="false">K32/SUMIF(A:A,A32,K:K)</f>
        <v>0.0726993191302438</v>
      </c>
      <c r="M32" s="1" t="n">
        <f aca="false">ROUND(SUMIF(A:A,A32,J:J)*L32,0)</f>
        <v>625</v>
      </c>
      <c r="N32" s="1" t="str">
        <f aca="false">IF(O32=1,"Yes",IF(AND(O32&gt;1,SUMIFS(L:L,B:B,"&lt;&gt;Green",A:A,A32)+5%&gt;=SUMIFS(L:L,A:A,A32,B:B,"&lt;&gt;Green",O:O,1)),"No","Yes"))</f>
        <v>No</v>
      </c>
      <c r="O32" s="1" t="n">
        <f aca="false">COUNTIFS(A:A,A32,P:P,"&gt;"&amp;P32)+1</f>
        <v>5</v>
      </c>
      <c r="P32" s="25" t="n">
        <f aca="false">SUMIFS(L:L,A:A,A32,B:B,B32)</f>
        <v>0.218097957390731</v>
      </c>
    </row>
    <row r="33" customFormat="false" ht="13.8" hidden="false" customHeight="false" outlineLevel="0" collapsed="false">
      <c r="A33" s="1" t="s">
        <v>270</v>
      </c>
      <c r="B33" s="27" t="s">
        <v>241</v>
      </c>
      <c r="C33" s="1" t="s">
        <v>275</v>
      </c>
      <c r="D33" s="1" t="n">
        <v>901</v>
      </c>
      <c r="E33" s="25" t="n">
        <v>0.291</v>
      </c>
      <c r="F33" s="1" t="n">
        <v>3094</v>
      </c>
      <c r="G33" s="1" t="n">
        <v>9170</v>
      </c>
      <c r="H33" s="28" t="n">
        <f aca="false">ROUND(D33*IF(ISNUMBER(SEARCH("Labour",B33)),National!$L$4,IF(ISNUMBER(SEARCH("Conservative",B33)),National!$L$5,IF(OR(ISNUMBER(SEARCH("Reform",B33)),ISNUMBER(SEARCH("RefUK",B33))),National!$L$6,IF(ISNUMBER(SEARCH("Green",B33)),National!$L$7,IF(OR(ISNUMBER(SEARCH("Liberal Democrat",B33)),ISNUMBER(SEARCH("Lib Dem",B33))),National!$L$8,National!$L$9))))),0)</f>
        <v>589</v>
      </c>
      <c r="I33" s="25" t="n">
        <f aca="false">H33/SUMIFS(H:H,A:A,A33)</f>
        <v>0.108371665133395</v>
      </c>
      <c r="J33" s="29" t="n">
        <f aca="false">ROUND(I33*SUMIF(A:A,A33,D:D),0)</f>
        <v>931</v>
      </c>
      <c r="K33" s="24" t="n">
        <f aca="false">ROUND(AVERAGEIFS(J:J,A:A,A33,B:B,B33)/COUNTIFS(B:B,B33,A:A,A33),0)</f>
        <v>331</v>
      </c>
      <c r="L33" s="25" t="n">
        <f aca="false">K33/SUMIF(A:A,A33,K:K)</f>
        <v>0.0726993191302438</v>
      </c>
      <c r="M33" s="1" t="n">
        <f aca="false">ROUND(SUMIF(A:A,A33,J:J)*L33,0)</f>
        <v>625</v>
      </c>
      <c r="N33" s="1" t="str">
        <f aca="false">IF(O33=1,"Yes",IF(AND(O33&gt;1,SUMIFS(L:L,B:B,"&lt;&gt;Green",A:A,A33)+5%&gt;=SUMIFS(L:L,A:A,A33,B:B,"&lt;&gt;Green",O:O,1)),"No","Yes"))</f>
        <v>No</v>
      </c>
      <c r="O33" s="1" t="n">
        <f aca="false">COUNTIFS(A:A,A33,P:P,"&gt;"&amp;P33)+1</f>
        <v>5</v>
      </c>
      <c r="P33" s="25" t="n">
        <f aca="false">SUMIFS(L:L,A:A,A33,B:B,B33)</f>
        <v>0.218097957390731</v>
      </c>
    </row>
    <row r="34" customFormat="false" ht="13.8" hidden="false" customHeight="false" outlineLevel="0" collapsed="false">
      <c r="A34" s="1" t="s">
        <v>270</v>
      </c>
      <c r="B34" s="30" t="s">
        <v>219</v>
      </c>
      <c r="C34" s="1" t="s">
        <v>53</v>
      </c>
      <c r="D34" s="1" t="n">
        <v>527</v>
      </c>
      <c r="E34" s="25" t="n">
        <v>0.17</v>
      </c>
      <c r="F34" s="1" t="n">
        <v>3094</v>
      </c>
      <c r="G34" s="1" t="n">
        <v>9170</v>
      </c>
      <c r="H34" s="28" t="n">
        <f aca="false">ROUND(D34*IF(ISNUMBER(SEARCH("Labour",B34)),National!$L$4,IF(ISNUMBER(SEARCH("Conservative",B34)),National!$L$5,IF(OR(ISNUMBER(SEARCH("Reform",B34)),ISNUMBER(SEARCH("RefUK",B34))),National!$L$6,IF(ISNUMBER(SEARCH("Green",B34)),National!$L$7,IF(OR(ISNUMBER(SEARCH("Liberal Democrat",B34)),ISNUMBER(SEARCH("Lib Dem",B34))),National!$L$8,National!$L$9))))),0)</f>
        <v>1252</v>
      </c>
      <c r="I34" s="25" t="n">
        <f aca="false">H34/SUMIFS(H:H,A:A,A34)</f>
        <v>0.230358785648574</v>
      </c>
      <c r="J34" s="29" t="n">
        <f aca="false">ROUND(I34*SUMIF(A:A,A34,D:D),0)</f>
        <v>1979</v>
      </c>
      <c r="K34" s="24" t="n">
        <f aca="false">ROUND(AVERAGEIFS(J:J,A:A,A34,B:B,B34)/COUNTIFS(B:B,B34,A:A,A34),0)</f>
        <v>1979</v>
      </c>
      <c r="L34" s="25" t="n">
        <f aca="false">K34/SUMIF(A:A,A34,K:K)</f>
        <v>0.434658466944872</v>
      </c>
      <c r="M34" s="1" t="n">
        <f aca="false">ROUND(SUMIF(A:A,A34,J:J)*L34,0)</f>
        <v>3734</v>
      </c>
      <c r="N34" s="1" t="str">
        <f aca="false">IF(O34=1,"Yes",IF(AND(O34&gt;1,SUMIFS(L:L,B:B,"&lt;&gt;Green",A:A,A34)+5%&gt;=SUMIFS(L:L,A:A,A34,B:B,"&lt;&gt;Green",O:O,1)),"No","Yes"))</f>
        <v>Yes</v>
      </c>
      <c r="O34" s="1" t="n">
        <f aca="false">COUNTIFS(A:A,A34,P:P,"&gt;"&amp;P34)+1</f>
        <v>1</v>
      </c>
      <c r="P34" s="25" t="n">
        <f aca="false">SUMIFS(L:L,A:A,A34,B:B,B34)</f>
        <v>0.434658466944872</v>
      </c>
    </row>
    <row r="35" customFormat="false" ht="13.8" hidden="false" customHeight="false" outlineLevel="0" collapsed="false">
      <c r="A35" s="1" t="s">
        <v>270</v>
      </c>
      <c r="B35" s="27" t="s">
        <v>19</v>
      </c>
      <c r="C35" s="1" t="s">
        <v>54</v>
      </c>
      <c r="D35" s="1" t="n">
        <v>249</v>
      </c>
      <c r="E35" s="25" t="n">
        <v>0.08</v>
      </c>
      <c r="F35" s="1" t="n">
        <v>3094</v>
      </c>
      <c r="G35" s="1" t="n">
        <v>9170</v>
      </c>
      <c r="H35" s="28" t="n">
        <f aca="false">ROUND(D35*IF(ISNUMBER(SEARCH("Labour",B35)),National!$L$4,IF(ISNUMBER(SEARCH("Conservative",B35)),National!$L$5,IF(OR(ISNUMBER(SEARCH("Reform",B35)),ISNUMBER(SEARCH("RefUK",B35))),National!$L$6,IF(ISNUMBER(SEARCH("Green",B35)),National!$L$7,IF(OR(ISNUMBER(SEARCH("Liberal Democrat",B35)),ISNUMBER(SEARCH("Lib Dem",B35))),National!$L$8,National!$L$9))))),0)</f>
        <v>349</v>
      </c>
      <c r="I35" s="25" t="n">
        <f aca="false">H35/SUMIFS(H:H,A:A,A35)</f>
        <v>0.0642134314627415</v>
      </c>
      <c r="J35" s="29" t="n">
        <f aca="false">ROUND(I35*SUMIF(A:A,A35,D:D),0)</f>
        <v>552</v>
      </c>
      <c r="K35" s="24" t="n">
        <f aca="false">ROUND(AVERAGEIFS(J:J,A:A,A35,B:B,B35)/COUNTIFS(B:B,B35,A:A,A35),0)</f>
        <v>552</v>
      </c>
      <c r="L35" s="25" t="n">
        <f aca="false">K35/SUMIF(A:A,A35,K:K)</f>
        <v>0.121238743685482</v>
      </c>
      <c r="M35" s="1" t="n">
        <f aca="false">ROUND(SUMIF(A:A,A35,J:J)*L35,0)</f>
        <v>1042</v>
      </c>
      <c r="N35" s="1" t="str">
        <f aca="false">IF(O35=1,"Yes",IF(AND(O35&gt;1,SUMIFS(L:L,B:B,"&lt;&gt;Green",A:A,A35)+5%&gt;=SUMIFS(L:L,A:A,A35,B:B,"&lt;&gt;Green",O:O,1)),"No","Yes"))</f>
        <v>No</v>
      </c>
      <c r="O35" s="1" t="n">
        <f aca="false">COUNTIFS(A:A,A35,P:P,"&gt;"&amp;P35)+1</f>
        <v>8</v>
      </c>
      <c r="P35" s="25" t="n">
        <f aca="false">SUMIFS(L:L,A:A,A35,B:B,B35)</f>
        <v>0.121238743685482</v>
      </c>
    </row>
    <row r="36" customFormat="false" ht="13.8" hidden="false" customHeight="false" outlineLevel="0" collapsed="false">
      <c r="A36" s="1" t="s">
        <v>276</v>
      </c>
      <c r="B36" s="27" t="s">
        <v>249</v>
      </c>
      <c r="C36" s="1" t="s">
        <v>277</v>
      </c>
      <c r="D36" s="1" t="n">
        <v>1419</v>
      </c>
      <c r="E36" s="25" t="n">
        <v>0.637</v>
      </c>
      <c r="F36" s="1" t="n">
        <v>2227</v>
      </c>
      <c r="G36" s="1" t="n">
        <v>10237</v>
      </c>
      <c r="H36" s="28" t="n">
        <f aca="false">ROUND(D36*IF(ISNUMBER(SEARCH("Labour",B36)),National!$L$4,IF(ISNUMBER(SEARCH("Conservative",B36)),National!$L$5,IF(OR(ISNUMBER(SEARCH("Reform",B36)),ISNUMBER(SEARCH("RefUK",B36))),National!$L$6,IF(ISNUMBER(SEARCH("Green",B36)),National!$L$7,IF(OR(ISNUMBER(SEARCH("Liberal Democrat",B36)),ISNUMBER(SEARCH("Lib Dem",B36))),National!$L$8,National!$L$9))))),0)</f>
        <v>561</v>
      </c>
      <c r="I36" s="25" t="n">
        <f aca="false">H36/SUMIFS(H:H,A:A,A36)</f>
        <v>0.151950162513543</v>
      </c>
      <c r="J36" s="29" t="n">
        <f aca="false">ROUND(I36*SUMIF(A:A,A36,D:D),0)</f>
        <v>925</v>
      </c>
      <c r="K36" s="24" t="n">
        <f aca="false">ROUND(AVERAGEIFS(J:J,A:A,A36,B:B,B36)/COUNTIFS(B:B,B36,A:A,A36),0)</f>
        <v>298</v>
      </c>
      <c r="L36" s="25" t="n">
        <f aca="false">K36/SUMIF(A:A,A36,K:K)</f>
        <v>0.0900846432889964</v>
      </c>
      <c r="M36" s="1" t="n">
        <f aca="false">ROUND(SUMIF(A:A,A36,J:J)*L36,0)</f>
        <v>548</v>
      </c>
      <c r="N36" s="1" t="str">
        <f aca="false">IF(O36=1,"Yes",IF(AND(O36&gt;1,SUMIFS(L:L,B:B,"&lt;&gt;Green",A:A,A36)+5%&gt;=SUMIFS(L:L,A:A,A36,B:B,"&lt;&gt;Green",O:O,1)),"No","Yes"))</f>
        <v>No</v>
      </c>
      <c r="O36" s="1" t="n">
        <f aca="false">COUNTIFS(A:A,A36,P:P,"&gt;"&amp;P36)+1</f>
        <v>2</v>
      </c>
      <c r="P36" s="25" t="n">
        <f aca="false">SUMIFS(L:L,A:A,A36,B:B,B36)</f>
        <v>0.270253929866989</v>
      </c>
    </row>
    <row r="37" customFormat="false" ht="13.8" hidden="false" customHeight="false" outlineLevel="0" collapsed="false">
      <c r="A37" s="1" t="s">
        <v>276</v>
      </c>
      <c r="B37" s="27" t="s">
        <v>249</v>
      </c>
      <c r="C37" s="1" t="s">
        <v>278</v>
      </c>
      <c r="D37" s="1" t="n">
        <v>1355</v>
      </c>
      <c r="E37" s="25" t="n">
        <v>0.608</v>
      </c>
      <c r="F37" s="1" t="n">
        <v>2227</v>
      </c>
      <c r="G37" s="1" t="n">
        <v>10237</v>
      </c>
      <c r="H37" s="28" t="n">
        <f aca="false">ROUND(D37*IF(ISNUMBER(SEARCH("Labour",B37)),National!$L$4,IF(ISNUMBER(SEARCH("Conservative",B37)),National!$L$5,IF(OR(ISNUMBER(SEARCH("Reform",B37)),ISNUMBER(SEARCH("RefUK",B37))),National!$L$6,IF(ISNUMBER(SEARCH("Green",B37)),National!$L$7,IF(OR(ISNUMBER(SEARCH("Liberal Democrat",B37)),ISNUMBER(SEARCH("Lib Dem",B37))),National!$L$8,National!$L$9))))),0)</f>
        <v>536</v>
      </c>
      <c r="I37" s="25" t="n">
        <f aca="false">H37/SUMIFS(H:H,A:A,A37)</f>
        <v>0.145178764897075</v>
      </c>
      <c r="J37" s="29" t="n">
        <f aca="false">ROUND(I37*SUMIF(A:A,A37,D:D),0)</f>
        <v>884</v>
      </c>
      <c r="K37" s="24" t="n">
        <f aca="false">ROUND(AVERAGEIFS(J:J,A:A,A37,B:B,B37)/COUNTIFS(B:B,B37,A:A,A37),0)</f>
        <v>298</v>
      </c>
      <c r="L37" s="25" t="n">
        <f aca="false">K37/SUMIF(A:A,A37,K:K)</f>
        <v>0.0900846432889964</v>
      </c>
      <c r="M37" s="1" t="n">
        <f aca="false">ROUND(SUMIF(A:A,A37,J:J)*L37,0)</f>
        <v>548</v>
      </c>
      <c r="N37" s="1" t="str">
        <f aca="false">IF(O37=1,"Yes",IF(AND(O37&gt;1,SUMIFS(L:L,B:B,"&lt;&gt;Green",A:A,A37)+5%&gt;=SUMIFS(L:L,A:A,A37,B:B,"&lt;&gt;Green",O:O,1)),"No","Yes"))</f>
        <v>No</v>
      </c>
      <c r="O37" s="1" t="n">
        <f aca="false">COUNTIFS(A:A,A37,P:P,"&gt;"&amp;P37)+1</f>
        <v>2</v>
      </c>
      <c r="P37" s="25" t="n">
        <f aca="false">SUMIFS(L:L,A:A,A37,B:B,B37)</f>
        <v>0.270253929866989</v>
      </c>
    </row>
    <row r="38" customFormat="false" ht="13.8" hidden="false" customHeight="false" outlineLevel="0" collapsed="false">
      <c r="A38" s="1" t="s">
        <v>276</v>
      </c>
      <c r="B38" s="27" t="s">
        <v>249</v>
      </c>
      <c r="C38" s="1" t="s">
        <v>279</v>
      </c>
      <c r="D38" s="1" t="n">
        <v>1339</v>
      </c>
      <c r="E38" s="25" t="n">
        <v>0.601</v>
      </c>
      <c r="F38" s="1" t="n">
        <v>2227</v>
      </c>
      <c r="G38" s="1" t="n">
        <v>10237</v>
      </c>
      <c r="H38" s="28" t="n">
        <f aca="false">ROUND(D38*IF(ISNUMBER(SEARCH("Labour",B38)),National!$L$4,IF(ISNUMBER(SEARCH("Conservative",B38)),National!$L$5,IF(OR(ISNUMBER(SEARCH("Reform",B38)),ISNUMBER(SEARCH("RefUK",B38))),National!$L$6,IF(ISNUMBER(SEARCH("Green",B38)),National!$L$7,IF(OR(ISNUMBER(SEARCH("Liberal Democrat",B38)),ISNUMBER(SEARCH("Lib Dem",B38))),National!$L$8,National!$L$9))))),0)</f>
        <v>529</v>
      </c>
      <c r="I38" s="25" t="n">
        <f aca="false">H38/SUMIFS(H:H,A:A,A38)</f>
        <v>0.143282773564464</v>
      </c>
      <c r="J38" s="29" t="n">
        <f aca="false">ROUND(I38*SUMIF(A:A,A38,D:D),0)</f>
        <v>872</v>
      </c>
      <c r="K38" s="24" t="n">
        <f aca="false">ROUND(AVERAGEIFS(J:J,A:A,A38,B:B,B38)/COUNTIFS(B:B,B38,A:A,A38),0)</f>
        <v>298</v>
      </c>
      <c r="L38" s="25" t="n">
        <f aca="false">K38/SUMIF(A:A,A38,K:K)</f>
        <v>0.0900846432889964</v>
      </c>
      <c r="M38" s="1" t="n">
        <f aca="false">ROUND(SUMIF(A:A,A38,J:J)*L38,0)</f>
        <v>548</v>
      </c>
      <c r="N38" s="1" t="str">
        <f aca="false">IF(O38=1,"Yes",IF(AND(O38&gt;1,SUMIFS(L:L,B:B,"&lt;&gt;Green",A:A,A38)+5%&gt;=SUMIFS(L:L,A:A,A38,B:B,"&lt;&gt;Green",O:O,1)),"No","Yes"))</f>
        <v>No</v>
      </c>
      <c r="O38" s="1" t="n">
        <f aca="false">COUNTIFS(A:A,A38,P:P,"&gt;"&amp;P38)+1</f>
        <v>2</v>
      </c>
      <c r="P38" s="25" t="n">
        <f aca="false">SUMIFS(L:L,A:A,A38,B:B,B38)</f>
        <v>0.270253929866989</v>
      </c>
    </row>
    <row r="39" customFormat="false" ht="13.8" hidden="false" customHeight="false" outlineLevel="0" collapsed="false">
      <c r="A39" s="1" t="s">
        <v>276</v>
      </c>
      <c r="B39" s="27" t="s">
        <v>241</v>
      </c>
      <c r="C39" s="1" t="s">
        <v>58</v>
      </c>
      <c r="D39" s="1" t="n">
        <v>530</v>
      </c>
      <c r="E39" s="25" t="n">
        <v>0.238</v>
      </c>
      <c r="F39" s="1" t="n">
        <v>2227</v>
      </c>
      <c r="G39" s="1" t="n">
        <v>10237</v>
      </c>
      <c r="H39" s="28" t="n">
        <f aca="false">ROUND(D39*IF(ISNUMBER(SEARCH("Labour",B39)),National!$L$4,IF(ISNUMBER(SEARCH("Conservative",B39)),National!$L$5,IF(OR(ISNUMBER(SEARCH("Reform",B39)),ISNUMBER(SEARCH("RefUK",B39))),National!$L$6,IF(ISNUMBER(SEARCH("Green",B39)),National!$L$7,IF(OR(ISNUMBER(SEARCH("Liberal Democrat",B39)),ISNUMBER(SEARCH("Lib Dem",B39))),National!$L$8,National!$L$9))))),0)</f>
        <v>347</v>
      </c>
      <c r="I39" s="25" t="n">
        <f aca="false">H39/SUMIFS(H:H,A:A,A39)</f>
        <v>0.0939869989165764</v>
      </c>
      <c r="J39" s="29" t="n">
        <f aca="false">ROUND(I39*SUMIF(A:A,A39,D:D),0)</f>
        <v>572</v>
      </c>
      <c r="K39" s="24" t="n">
        <f aca="false">ROUND(AVERAGEIFS(J:J,A:A,A39,B:B,B39)/COUNTIFS(B:B,B39,A:A,A39),0)</f>
        <v>165</v>
      </c>
      <c r="L39" s="25" t="n">
        <f aca="false">K39/SUMIF(A:A,A39,K:K)</f>
        <v>0.0498790810157195</v>
      </c>
      <c r="M39" s="1" t="n">
        <f aca="false">ROUND(SUMIF(A:A,A39,J:J)*L39,0)</f>
        <v>304</v>
      </c>
      <c r="N39" s="1" t="str">
        <f aca="false">IF(O39=1,"Yes",IF(AND(O39&gt;1,SUMIFS(L:L,B:B,"&lt;&gt;Green",A:A,A39)+5%&gt;=SUMIFS(L:L,A:A,A39,B:B,"&lt;&gt;Green",O:O,1)),"No","Yes"))</f>
        <v>No</v>
      </c>
      <c r="O39" s="1" t="n">
        <f aca="false">COUNTIFS(A:A,A39,P:P,"&gt;"&amp;P39)+1</f>
        <v>6</v>
      </c>
      <c r="P39" s="25" t="n">
        <f aca="false">SUMIFS(L:L,A:A,A39,B:B,B39)</f>
        <v>0.149637243047158</v>
      </c>
    </row>
    <row r="40" customFormat="false" ht="13.8" hidden="false" customHeight="false" outlineLevel="0" collapsed="false">
      <c r="A40" s="1" t="s">
        <v>276</v>
      </c>
      <c r="B40" s="27" t="s">
        <v>241</v>
      </c>
      <c r="C40" s="1" t="s">
        <v>280</v>
      </c>
      <c r="D40" s="1" t="n">
        <v>439</v>
      </c>
      <c r="E40" s="25" t="n">
        <v>0.197</v>
      </c>
      <c r="F40" s="1" t="n">
        <v>2227</v>
      </c>
      <c r="G40" s="1" t="n">
        <v>10237</v>
      </c>
      <c r="H40" s="28" t="n">
        <f aca="false">ROUND(D40*IF(ISNUMBER(SEARCH("Labour",B40)),National!$L$4,IF(ISNUMBER(SEARCH("Conservative",B40)),National!$L$5,IF(OR(ISNUMBER(SEARCH("Reform",B40)),ISNUMBER(SEARCH("RefUK",B40))),National!$L$6,IF(ISNUMBER(SEARCH("Green",B40)),National!$L$7,IF(OR(ISNUMBER(SEARCH("Liberal Democrat",B40)),ISNUMBER(SEARCH("Lib Dem",B40))),National!$L$8,National!$L$9))))),0)</f>
        <v>287</v>
      </c>
      <c r="I40" s="25" t="n">
        <f aca="false">H40/SUMIFS(H:H,A:A,A40)</f>
        <v>0.0777356446370531</v>
      </c>
      <c r="J40" s="29" t="n">
        <f aca="false">ROUND(I40*SUMIF(A:A,A40,D:D),0)</f>
        <v>473</v>
      </c>
      <c r="K40" s="24" t="n">
        <f aca="false">ROUND(AVERAGEIFS(J:J,A:A,A40,B:B,B40)/COUNTIFS(B:B,B40,A:A,A40),0)</f>
        <v>165</v>
      </c>
      <c r="L40" s="25" t="n">
        <f aca="false">K40/SUMIF(A:A,A40,K:K)</f>
        <v>0.0498790810157195</v>
      </c>
      <c r="M40" s="1" t="n">
        <f aca="false">ROUND(SUMIF(A:A,A40,J:J)*L40,0)</f>
        <v>304</v>
      </c>
      <c r="N40" s="1" t="str">
        <f aca="false">IF(O40=1,"Yes",IF(AND(O40&gt;1,SUMIFS(L:L,B:B,"&lt;&gt;Green",A:A,A40)+5%&gt;=SUMIFS(L:L,A:A,A40,B:B,"&lt;&gt;Green",O:O,1)),"No","Yes"))</f>
        <v>No</v>
      </c>
      <c r="O40" s="1" t="n">
        <f aca="false">COUNTIFS(A:A,A40,P:P,"&gt;"&amp;P40)+1</f>
        <v>6</v>
      </c>
      <c r="P40" s="25" t="n">
        <f aca="false">SUMIFS(L:L,A:A,A40,B:B,B40)</f>
        <v>0.149637243047158</v>
      </c>
    </row>
    <row r="41" customFormat="false" ht="13.8" hidden="false" customHeight="false" outlineLevel="0" collapsed="false">
      <c r="A41" s="1" t="s">
        <v>276</v>
      </c>
      <c r="B41" s="27" t="s">
        <v>241</v>
      </c>
      <c r="C41" s="1" t="s">
        <v>281</v>
      </c>
      <c r="D41" s="1" t="n">
        <v>410</v>
      </c>
      <c r="E41" s="25" t="n">
        <v>0.184</v>
      </c>
      <c r="F41" s="1" t="n">
        <v>2227</v>
      </c>
      <c r="G41" s="1" t="n">
        <v>10237</v>
      </c>
      <c r="H41" s="28" t="n">
        <f aca="false">ROUND(D41*IF(ISNUMBER(SEARCH("Labour",B41)),National!$L$4,IF(ISNUMBER(SEARCH("Conservative",B41)),National!$L$5,IF(OR(ISNUMBER(SEARCH("Reform",B41)),ISNUMBER(SEARCH("RefUK",B41))),National!$L$6,IF(ISNUMBER(SEARCH("Green",B41)),National!$L$7,IF(OR(ISNUMBER(SEARCH("Liberal Democrat",B41)),ISNUMBER(SEARCH("Lib Dem",B41))),National!$L$8,National!$L$9))))),0)</f>
        <v>268</v>
      </c>
      <c r="I41" s="25" t="n">
        <f aca="false">H41/SUMIFS(H:H,A:A,A41)</f>
        <v>0.0725893824485374</v>
      </c>
      <c r="J41" s="29" t="n">
        <f aca="false">ROUND(I41*SUMIF(A:A,A41,D:D),0)</f>
        <v>442</v>
      </c>
      <c r="K41" s="24" t="n">
        <f aca="false">ROUND(AVERAGEIFS(J:J,A:A,A41,B:B,B41)/COUNTIFS(B:B,B41,A:A,A41),0)</f>
        <v>165</v>
      </c>
      <c r="L41" s="25" t="n">
        <f aca="false">K41/SUMIF(A:A,A41,K:K)</f>
        <v>0.0498790810157195</v>
      </c>
      <c r="M41" s="1" t="n">
        <f aca="false">ROUND(SUMIF(A:A,A41,J:J)*L41,0)</f>
        <v>304</v>
      </c>
      <c r="N41" s="1" t="str">
        <f aca="false">IF(O41=1,"Yes",IF(AND(O41&gt;1,SUMIFS(L:L,B:B,"&lt;&gt;Green",A:A,A41)+5%&gt;=SUMIFS(L:L,A:A,A41,B:B,"&lt;&gt;Green",O:O,1)),"No","Yes"))</f>
        <v>No</v>
      </c>
      <c r="O41" s="1" t="n">
        <f aca="false">COUNTIFS(A:A,A41,P:P,"&gt;"&amp;P41)+1</f>
        <v>6</v>
      </c>
      <c r="P41" s="25" t="n">
        <f aca="false">SUMIFS(L:L,A:A,A41,B:B,B41)</f>
        <v>0.149637243047158</v>
      </c>
    </row>
    <row r="42" customFormat="false" ht="13.8" hidden="false" customHeight="false" outlineLevel="0" collapsed="false">
      <c r="A42" s="1" t="s">
        <v>276</v>
      </c>
      <c r="B42" s="30" t="s">
        <v>219</v>
      </c>
      <c r="C42" s="1" t="s">
        <v>62</v>
      </c>
      <c r="D42" s="1" t="n">
        <v>340</v>
      </c>
      <c r="E42" s="25" t="n">
        <v>0.153</v>
      </c>
      <c r="F42" s="1" t="n">
        <v>2227</v>
      </c>
      <c r="G42" s="1" t="n">
        <v>10237</v>
      </c>
      <c r="H42" s="28" t="n">
        <f aca="false">ROUND(D42*IF(ISNUMBER(SEARCH("Labour",B42)),National!$L$4,IF(ISNUMBER(SEARCH("Conservative",B42)),National!$L$5,IF(OR(ISNUMBER(SEARCH("Reform",B42)),ISNUMBER(SEARCH("RefUK",B42))),National!$L$6,IF(ISNUMBER(SEARCH("Green",B42)),National!$L$7,IF(OR(ISNUMBER(SEARCH("Liberal Democrat",B42)),ISNUMBER(SEARCH("Lib Dem",B42))),National!$L$8,National!$L$9))))),0)</f>
        <v>808</v>
      </c>
      <c r="I42" s="25" t="n">
        <f aca="false">H42/SUMIFS(H:H,A:A,A42)</f>
        <v>0.218851570964247</v>
      </c>
      <c r="J42" s="29" t="n">
        <f aca="false">ROUND(I42*SUMIF(A:A,A42,D:D),0)</f>
        <v>1332</v>
      </c>
      <c r="K42" s="24" t="n">
        <f aca="false">ROUND(AVERAGEIFS(J:J,A:A,A42,B:B,B42)/COUNTIFS(B:B,B42,A:A,A42),0)</f>
        <v>1332</v>
      </c>
      <c r="L42" s="25" t="n">
        <f aca="false">K42/SUMIF(A:A,A42,K:K)</f>
        <v>0.402660217654172</v>
      </c>
      <c r="M42" s="1" t="n">
        <f aca="false">ROUND(SUMIF(A:A,A42,J:J)*L42,0)</f>
        <v>2451</v>
      </c>
      <c r="N42" s="1" t="str">
        <f aca="false">IF(O42=1,"Yes",IF(AND(O42&gt;1,SUMIFS(L:L,B:B,"&lt;&gt;Green",A:A,A42)+5%&gt;=SUMIFS(L:L,A:A,A42,B:B,"&lt;&gt;Green",O:O,1)),"No","Yes"))</f>
        <v>Yes</v>
      </c>
      <c r="O42" s="1" t="n">
        <f aca="false">COUNTIFS(A:A,A42,P:P,"&gt;"&amp;P42)+1</f>
        <v>1</v>
      </c>
      <c r="P42" s="25" t="n">
        <f aca="false">SUMIFS(L:L,A:A,A42,B:B,B42)</f>
        <v>0.402660217654172</v>
      </c>
    </row>
    <row r="43" customFormat="false" ht="13.8" hidden="false" customHeight="false" outlineLevel="0" collapsed="false">
      <c r="A43" s="1" t="s">
        <v>276</v>
      </c>
      <c r="B43" s="27" t="s">
        <v>19</v>
      </c>
      <c r="C43" s="1" t="s">
        <v>282</v>
      </c>
      <c r="D43" s="1" t="n">
        <v>254</v>
      </c>
      <c r="E43" s="25" t="n">
        <v>0.114</v>
      </c>
      <c r="F43" s="1" t="n">
        <v>2227</v>
      </c>
      <c r="G43" s="1" t="n">
        <v>10237</v>
      </c>
      <c r="H43" s="28" t="n">
        <f aca="false">ROUND(D43*IF(ISNUMBER(SEARCH("Labour",B43)),National!$L$4,IF(ISNUMBER(SEARCH("Conservative",B43)),National!$L$5,IF(OR(ISNUMBER(SEARCH("Reform",B43)),ISNUMBER(SEARCH("RefUK",B43))),National!$L$6,IF(ISNUMBER(SEARCH("Green",B43)),National!$L$7,IF(OR(ISNUMBER(SEARCH("Liberal Democrat",B43)),ISNUMBER(SEARCH("Lib Dem",B43))),National!$L$8,National!$L$9))))),0)</f>
        <v>356</v>
      </c>
      <c r="I43" s="25" t="n">
        <f aca="false">H43/SUMIFS(H:H,A:A,A43)</f>
        <v>0.0964247020585049</v>
      </c>
      <c r="J43" s="29" t="n">
        <f aca="false">ROUND(I43*SUMIF(A:A,A43,D:D),0)</f>
        <v>587</v>
      </c>
      <c r="K43" s="24" t="n">
        <f aca="false">ROUND(AVERAGEIFS(J:J,A:A,A43,B:B,B43)/COUNTIFS(B:B,B43,A:A,A43),0)</f>
        <v>587</v>
      </c>
      <c r="L43" s="25" t="n">
        <f aca="false">K43/SUMIF(A:A,A43,K:K)</f>
        <v>0.177448609431681</v>
      </c>
      <c r="M43" s="1" t="n">
        <f aca="false">ROUND(SUMIF(A:A,A43,J:J)*L43,0)</f>
        <v>1080</v>
      </c>
      <c r="N43" s="1" t="str">
        <f aca="false">IF(O43=1,"Yes",IF(AND(O43&gt;1,SUMIFS(L:L,B:B,"&lt;&gt;Green",A:A,A43)+5%&gt;=SUMIFS(L:L,A:A,A43,B:B,"&lt;&gt;Green",O:O,1)),"No","Yes"))</f>
        <v>No</v>
      </c>
      <c r="O43" s="1" t="n">
        <f aca="false">COUNTIFS(A:A,A43,P:P,"&gt;"&amp;P43)+1</f>
        <v>5</v>
      </c>
      <c r="P43" s="25" t="n">
        <f aca="false">SUMIFS(L:L,A:A,A43,B:B,B43)</f>
        <v>0.177448609431681</v>
      </c>
    </row>
    <row r="44" customFormat="false" ht="13.8" hidden="false" customHeight="false" outlineLevel="0" collapsed="false">
      <c r="A44" s="1" t="s">
        <v>283</v>
      </c>
      <c r="B44" s="27" t="s">
        <v>249</v>
      </c>
      <c r="C44" s="1" t="s">
        <v>284</v>
      </c>
      <c r="D44" s="1" t="n">
        <v>1617</v>
      </c>
      <c r="E44" s="25" t="n">
        <v>0.653</v>
      </c>
      <c r="F44" s="1" t="n">
        <v>2478</v>
      </c>
      <c r="G44" s="1" t="n">
        <v>11085</v>
      </c>
      <c r="H44" s="28" t="n">
        <f aca="false">ROUND(D44*IF(ISNUMBER(SEARCH("Labour",B44)),National!$L$4,IF(ISNUMBER(SEARCH("Conservative",B44)),National!$L$5,IF(OR(ISNUMBER(SEARCH("Reform",B44)),ISNUMBER(SEARCH("RefUK",B44))),National!$L$6,IF(ISNUMBER(SEARCH("Green",B44)),National!$L$7,IF(OR(ISNUMBER(SEARCH("Liberal Democrat",B44)),ISNUMBER(SEARCH("Lib Dem",B44))),National!$L$8,National!$L$9))))),0)</f>
        <v>639</v>
      </c>
      <c r="I44" s="25" t="n">
        <f aca="false">H44/SUMIFS(H:H,A:A,A44)</f>
        <v>0.157583230579531</v>
      </c>
      <c r="J44" s="29" t="n">
        <f aca="false">ROUND(I44*SUMIF(A:A,A44,D:D),0)</f>
        <v>1054</v>
      </c>
      <c r="K44" s="24" t="n">
        <f aca="false">ROUND(AVERAGEIFS(J:J,A:A,A44,B:B,B44)/COUNTIFS(B:B,B44,A:A,A44),0)</f>
        <v>336</v>
      </c>
      <c r="L44" s="25" t="n">
        <f aca="false">K44/SUMIF(A:A,A44,K:K)</f>
        <v>0.0908353609083536</v>
      </c>
      <c r="M44" s="1" t="n">
        <f aca="false">ROUND(SUMIF(A:A,A44,J:J)*L44,0)</f>
        <v>607</v>
      </c>
      <c r="N44" s="1" t="str">
        <f aca="false">IF(O44=1,"Yes",IF(AND(O44&gt;1,SUMIFS(L:L,B:B,"&lt;&gt;Green",A:A,A44)+5%&gt;=SUMIFS(L:L,A:A,A44,B:B,"&lt;&gt;Green",O:O,1)),"No","Yes"))</f>
        <v>No</v>
      </c>
      <c r="O44" s="1" t="n">
        <f aca="false">COUNTIFS(A:A,A44,P:P,"&gt;"&amp;P44)+1</f>
        <v>2</v>
      </c>
      <c r="P44" s="25" t="n">
        <f aca="false">SUMIFS(L:L,A:A,A44,B:B,B44)</f>
        <v>0.272506082725061</v>
      </c>
    </row>
    <row r="45" customFormat="false" ht="13.8" hidden="false" customHeight="false" outlineLevel="0" collapsed="false">
      <c r="A45" s="1" t="s">
        <v>283</v>
      </c>
      <c r="B45" s="27" t="s">
        <v>249</v>
      </c>
      <c r="C45" s="1" t="s">
        <v>285</v>
      </c>
      <c r="D45" s="1" t="n">
        <v>1531</v>
      </c>
      <c r="E45" s="25" t="n">
        <v>0.618</v>
      </c>
      <c r="F45" s="1" t="n">
        <v>2478</v>
      </c>
      <c r="G45" s="1" t="n">
        <v>11085</v>
      </c>
      <c r="H45" s="28" t="n">
        <f aca="false">ROUND(D45*IF(ISNUMBER(SEARCH("Labour",B45)),National!$L$4,IF(ISNUMBER(SEARCH("Conservative",B45)),National!$L$5,IF(OR(ISNUMBER(SEARCH("Reform",B45)),ISNUMBER(SEARCH("RefUK",B45))),National!$L$6,IF(ISNUMBER(SEARCH("Green",B45)),National!$L$7,IF(OR(ISNUMBER(SEARCH("Liberal Democrat",B45)),ISNUMBER(SEARCH("Lib Dem",B45))),National!$L$8,National!$L$9))))),0)</f>
        <v>605</v>
      </c>
      <c r="I45" s="25" t="n">
        <f aca="false">H45/SUMIFS(H:H,A:A,A45)</f>
        <v>0.149198520345253</v>
      </c>
      <c r="J45" s="29" t="n">
        <f aca="false">ROUND(I45*SUMIF(A:A,A45,D:D),0)</f>
        <v>998</v>
      </c>
      <c r="K45" s="24" t="n">
        <f aca="false">ROUND(AVERAGEIFS(J:J,A:A,A45,B:B,B45)/COUNTIFS(B:B,B45,A:A,A45),0)</f>
        <v>336</v>
      </c>
      <c r="L45" s="25" t="n">
        <f aca="false">K45/SUMIF(A:A,A45,K:K)</f>
        <v>0.0908353609083536</v>
      </c>
      <c r="M45" s="1" t="n">
        <f aca="false">ROUND(SUMIF(A:A,A45,J:J)*L45,0)</f>
        <v>607</v>
      </c>
      <c r="N45" s="1" t="str">
        <f aca="false">IF(O45=1,"Yes",IF(AND(O45&gt;1,SUMIFS(L:L,B:B,"&lt;&gt;Green",A:A,A45)+5%&gt;=SUMIFS(L:L,A:A,A45,B:B,"&lt;&gt;Green",O:O,1)),"No","Yes"))</f>
        <v>No</v>
      </c>
      <c r="O45" s="1" t="n">
        <f aca="false">COUNTIFS(A:A,A45,P:P,"&gt;"&amp;P45)+1</f>
        <v>2</v>
      </c>
      <c r="P45" s="25" t="n">
        <f aca="false">SUMIFS(L:L,A:A,A45,B:B,B45)</f>
        <v>0.272506082725061</v>
      </c>
    </row>
    <row r="46" customFormat="false" ht="13.8" hidden="false" customHeight="false" outlineLevel="0" collapsed="false">
      <c r="A46" s="1" t="s">
        <v>283</v>
      </c>
      <c r="B46" s="27" t="s">
        <v>249</v>
      </c>
      <c r="C46" s="1" t="s">
        <v>286</v>
      </c>
      <c r="D46" s="1" t="n">
        <v>1491</v>
      </c>
      <c r="E46" s="25" t="n">
        <v>0.602</v>
      </c>
      <c r="F46" s="1" t="n">
        <v>2478</v>
      </c>
      <c r="G46" s="1" t="n">
        <v>11085</v>
      </c>
      <c r="H46" s="28" t="n">
        <f aca="false">ROUND(D46*IF(ISNUMBER(SEARCH("Labour",B46)),National!$L$4,IF(ISNUMBER(SEARCH("Conservative",B46)),National!$L$5,IF(OR(ISNUMBER(SEARCH("Reform",B46)),ISNUMBER(SEARCH("RefUK",B46))),National!$L$6,IF(ISNUMBER(SEARCH("Green",B46)),National!$L$7,IF(OR(ISNUMBER(SEARCH("Liberal Democrat",B46)),ISNUMBER(SEARCH("Lib Dem",B46))),National!$L$8,National!$L$9))))),0)</f>
        <v>589</v>
      </c>
      <c r="I46" s="25" t="n">
        <f aca="false">H46/SUMIFS(H:H,A:A,A46)</f>
        <v>0.145252774352651</v>
      </c>
      <c r="J46" s="29" t="n">
        <f aca="false">ROUND(I46*SUMIF(A:A,A46,D:D),0)</f>
        <v>971</v>
      </c>
      <c r="K46" s="24" t="n">
        <f aca="false">ROUND(AVERAGEIFS(J:J,A:A,A46,B:B,B46)/COUNTIFS(B:B,B46,A:A,A46),0)</f>
        <v>336</v>
      </c>
      <c r="L46" s="25" t="n">
        <f aca="false">K46/SUMIF(A:A,A46,K:K)</f>
        <v>0.0908353609083536</v>
      </c>
      <c r="M46" s="1" t="n">
        <f aca="false">ROUND(SUMIF(A:A,A46,J:J)*L46,0)</f>
        <v>607</v>
      </c>
      <c r="N46" s="1" t="str">
        <f aca="false">IF(O46=1,"Yes",IF(AND(O46&gt;1,SUMIFS(L:L,B:B,"&lt;&gt;Green",A:A,A46)+5%&gt;=SUMIFS(L:L,A:A,A46,B:B,"&lt;&gt;Green",O:O,1)),"No","Yes"))</f>
        <v>No</v>
      </c>
      <c r="O46" s="1" t="n">
        <f aca="false">COUNTIFS(A:A,A46,P:P,"&gt;"&amp;P46)+1</f>
        <v>2</v>
      </c>
      <c r="P46" s="25" t="n">
        <f aca="false">SUMIFS(L:L,A:A,A46,B:B,B46)</f>
        <v>0.272506082725061</v>
      </c>
    </row>
    <row r="47" customFormat="false" ht="13.8" hidden="false" customHeight="false" outlineLevel="0" collapsed="false">
      <c r="A47" s="1" t="s">
        <v>283</v>
      </c>
      <c r="B47" s="27" t="s">
        <v>241</v>
      </c>
      <c r="C47" s="1" t="s">
        <v>67</v>
      </c>
      <c r="D47" s="1" t="n">
        <v>509</v>
      </c>
      <c r="E47" s="25" t="n">
        <v>0.19</v>
      </c>
      <c r="F47" s="1" t="n">
        <v>2478</v>
      </c>
      <c r="G47" s="1" t="n">
        <v>11085</v>
      </c>
      <c r="H47" s="28" t="n">
        <f aca="false">ROUND(D47*IF(ISNUMBER(SEARCH("Labour",B47)),National!$L$4,IF(ISNUMBER(SEARCH("Conservative",B47)),National!$L$5,IF(OR(ISNUMBER(SEARCH("Reform",B47)),ISNUMBER(SEARCH("RefUK",B47))),National!$L$6,IF(ISNUMBER(SEARCH("Green",B47)),National!$L$7,IF(OR(ISNUMBER(SEARCH("Liberal Democrat",B47)),ISNUMBER(SEARCH("Lib Dem",B47))),National!$L$8,National!$L$9))))),0)</f>
        <v>333</v>
      </c>
      <c r="I47" s="25" t="n">
        <f aca="false">H47/SUMIFS(H:H,A:A,A47)</f>
        <v>0.0821208384710234</v>
      </c>
      <c r="J47" s="29" t="n">
        <f aca="false">ROUND(I47*SUMIF(A:A,A47,D:D),0)</f>
        <v>549</v>
      </c>
      <c r="K47" s="24" t="n">
        <f aca="false">ROUND(AVERAGEIFS(J:J,A:A,A47,B:B,B47)/COUNTIFS(B:B,B47,A:A,A47),0)</f>
        <v>162</v>
      </c>
      <c r="L47" s="25" t="n">
        <f aca="false">K47/SUMIF(A:A,A47,K:K)</f>
        <v>0.0437956204379562</v>
      </c>
      <c r="M47" s="1" t="n">
        <f aca="false">ROUND(SUMIF(A:A,A47,J:J)*L47,0)</f>
        <v>293</v>
      </c>
      <c r="N47" s="1" t="str">
        <f aca="false">IF(O47=1,"Yes",IF(AND(O47&gt;1,SUMIFS(L:L,B:B,"&lt;&gt;Green",A:A,A47)+5%&gt;=SUMIFS(L:L,A:A,A47,B:B,"&lt;&gt;Green",O:O,1)),"No","Yes"))</f>
        <v>No</v>
      </c>
      <c r="O47" s="1" t="n">
        <f aca="false">COUNTIFS(A:A,A47,P:P,"&gt;"&amp;P47)+1</f>
        <v>6</v>
      </c>
      <c r="P47" s="25" t="n">
        <f aca="false">SUMIFS(L:L,A:A,A47,B:B,B47)</f>
        <v>0.131386861313869</v>
      </c>
    </row>
    <row r="48" customFormat="false" ht="13.8" hidden="false" customHeight="false" outlineLevel="0" collapsed="false">
      <c r="A48" s="1" t="s">
        <v>283</v>
      </c>
      <c r="B48" s="27" t="s">
        <v>241</v>
      </c>
      <c r="C48" s="1" t="s">
        <v>287</v>
      </c>
      <c r="D48" s="1" t="n">
        <v>471</v>
      </c>
      <c r="E48" s="25" t="n">
        <v>0.151</v>
      </c>
      <c r="F48" s="1" t="n">
        <v>2478</v>
      </c>
      <c r="G48" s="1" t="n">
        <v>11085</v>
      </c>
      <c r="H48" s="28" t="n">
        <f aca="false">ROUND(D48*IF(ISNUMBER(SEARCH("Labour",B48)),National!$L$4,IF(ISNUMBER(SEARCH("Conservative",B48)),National!$L$5,IF(OR(ISNUMBER(SEARCH("Reform",B48)),ISNUMBER(SEARCH("RefUK",B48))),National!$L$6,IF(ISNUMBER(SEARCH("Green",B48)),National!$L$7,IF(OR(ISNUMBER(SEARCH("Liberal Democrat",B48)),ISNUMBER(SEARCH("Lib Dem",B48))),National!$L$8,National!$L$9))))),0)</f>
        <v>308</v>
      </c>
      <c r="I48" s="25" t="n">
        <f aca="false">H48/SUMIFS(H:H,A:A,A48)</f>
        <v>0.0759556103575832</v>
      </c>
      <c r="J48" s="29" t="n">
        <f aca="false">ROUND(I48*SUMIF(A:A,A48,D:D),0)</f>
        <v>508</v>
      </c>
      <c r="K48" s="24" t="n">
        <f aca="false">ROUND(AVERAGEIFS(J:J,A:A,A48,B:B,B48)/COUNTIFS(B:B,B48,A:A,A48),0)</f>
        <v>162</v>
      </c>
      <c r="L48" s="25" t="n">
        <f aca="false">K48/SUMIF(A:A,A48,K:K)</f>
        <v>0.0437956204379562</v>
      </c>
      <c r="M48" s="1" t="n">
        <f aca="false">ROUND(SUMIF(A:A,A48,J:J)*L48,0)</f>
        <v>293</v>
      </c>
      <c r="N48" s="1" t="str">
        <f aca="false">IF(O48=1,"Yes",IF(AND(O48&gt;1,SUMIFS(L:L,B:B,"&lt;&gt;Green",A:A,A48)+5%&gt;=SUMIFS(L:L,A:A,A48,B:B,"&lt;&gt;Green",O:O,1)),"No","Yes"))</f>
        <v>No</v>
      </c>
      <c r="O48" s="1" t="n">
        <f aca="false">COUNTIFS(A:A,A48,P:P,"&gt;"&amp;P48)+1</f>
        <v>6</v>
      </c>
      <c r="P48" s="25" t="n">
        <f aca="false">SUMIFS(L:L,A:A,A48,B:B,B48)</f>
        <v>0.131386861313869</v>
      </c>
    </row>
    <row r="49" customFormat="false" ht="13.8" hidden="false" customHeight="false" outlineLevel="0" collapsed="false">
      <c r="A49" s="1" t="s">
        <v>283</v>
      </c>
      <c r="B49" s="30" t="s">
        <v>219</v>
      </c>
      <c r="C49" s="1" t="s">
        <v>288</v>
      </c>
      <c r="D49" s="1" t="n">
        <v>373</v>
      </c>
      <c r="E49" s="25" t="n">
        <v>0.151</v>
      </c>
      <c r="F49" s="1" t="n">
        <v>2478</v>
      </c>
      <c r="G49" s="1" t="n">
        <v>11085</v>
      </c>
      <c r="H49" s="28" t="n">
        <f aca="false">ROUND(D49*IF(ISNUMBER(SEARCH("Labour",B49)),National!$L$4,IF(ISNUMBER(SEARCH("Conservative",B49)),National!$L$5,IF(OR(ISNUMBER(SEARCH("Reform",B49)),ISNUMBER(SEARCH("RefUK",B49))),National!$L$6,IF(ISNUMBER(SEARCH("Green",B49)),National!$L$7,IF(OR(ISNUMBER(SEARCH("Liberal Democrat",B49)),ISNUMBER(SEARCH("Lib Dem",B49))),National!$L$8,National!$L$9))))),0)</f>
        <v>886</v>
      </c>
      <c r="I49" s="25" t="n">
        <f aca="false">H49/SUMIFS(H:H,A:A,A49)</f>
        <v>0.218495684340321</v>
      </c>
      <c r="J49" s="29" t="n">
        <f aca="false">ROUND(I49*SUMIF(A:A,A49,D:D),0)</f>
        <v>1461</v>
      </c>
      <c r="K49" s="24" t="n">
        <f aca="false">ROUND(AVERAGEIFS(J:J,A:A,A49,B:B,B49)/COUNTIFS(B:B,B49,A:A,A49),0)</f>
        <v>1461</v>
      </c>
      <c r="L49" s="25" t="n">
        <f aca="false">K49/SUMIF(A:A,A49,K:K)</f>
        <v>0.394971613949716</v>
      </c>
      <c r="M49" s="1" t="n">
        <f aca="false">ROUND(SUMIF(A:A,A49,J:J)*L49,0)</f>
        <v>2641</v>
      </c>
      <c r="N49" s="1" t="str">
        <f aca="false">IF(O49=1,"Yes",IF(AND(O49&gt;1,SUMIFS(L:L,B:B,"&lt;&gt;Green",A:A,A49)+5%&gt;=SUMIFS(L:L,A:A,A49,B:B,"&lt;&gt;Green",O:O,1)),"No","Yes"))</f>
        <v>Yes</v>
      </c>
      <c r="O49" s="1" t="n">
        <f aca="false">COUNTIFS(A:A,A49,P:P,"&gt;"&amp;P49)+1</f>
        <v>1</v>
      </c>
      <c r="P49" s="25" t="n">
        <f aca="false">SUMIFS(L:L,A:A,A49,B:B,B49)</f>
        <v>0.394971613949716</v>
      </c>
    </row>
    <row r="50" customFormat="false" ht="13.8" hidden="false" customHeight="false" outlineLevel="0" collapsed="false">
      <c r="A50" s="1" t="s">
        <v>283</v>
      </c>
      <c r="B50" s="27" t="s">
        <v>241</v>
      </c>
      <c r="C50" s="1" t="s">
        <v>69</v>
      </c>
      <c r="D50" s="1" t="n">
        <v>373</v>
      </c>
      <c r="E50" s="25" t="n">
        <v>0.151</v>
      </c>
      <c r="F50" s="1" t="n">
        <v>2478</v>
      </c>
      <c r="G50" s="1" t="n">
        <v>11085</v>
      </c>
      <c r="H50" s="28" t="n">
        <f aca="false">ROUND(D50*IF(ISNUMBER(SEARCH("Labour",B50)),National!$L$4,IF(ISNUMBER(SEARCH("Conservative",B50)),National!$L$5,IF(OR(ISNUMBER(SEARCH("Reform",B50)),ISNUMBER(SEARCH("RefUK",B50))),National!$L$6,IF(ISNUMBER(SEARCH("Green",B50)),National!$L$7,IF(OR(ISNUMBER(SEARCH("Liberal Democrat",B50)),ISNUMBER(SEARCH("Lib Dem",B50))),National!$L$8,National!$L$9))))),0)</f>
        <v>244</v>
      </c>
      <c r="I50" s="25" t="n">
        <f aca="false">H50/SUMIFS(H:H,A:A,A50)</f>
        <v>0.0601726263871763</v>
      </c>
      <c r="J50" s="29" t="n">
        <f aca="false">ROUND(I50*SUMIF(A:A,A50,D:D),0)</f>
        <v>402</v>
      </c>
      <c r="K50" s="24" t="n">
        <f aca="false">ROUND(AVERAGEIFS(J:J,A:A,A50,B:B,B50)/COUNTIFS(B:B,B50,A:A,A50),0)</f>
        <v>162</v>
      </c>
      <c r="L50" s="25" t="n">
        <f aca="false">K50/SUMIF(A:A,A50,K:K)</f>
        <v>0.0437956204379562</v>
      </c>
      <c r="M50" s="1" t="n">
        <f aca="false">ROUND(SUMIF(A:A,A50,J:J)*L50,0)</f>
        <v>293</v>
      </c>
      <c r="N50" s="1" t="str">
        <f aca="false">IF(O50=1,"Yes",IF(AND(O50&gt;1,SUMIFS(L:L,B:B,"&lt;&gt;Green",A:A,A50)+5%&gt;=SUMIFS(L:L,A:A,A50,B:B,"&lt;&gt;Green",O:O,1)),"No","Yes"))</f>
        <v>No</v>
      </c>
      <c r="O50" s="1" t="n">
        <f aca="false">COUNTIFS(A:A,A50,P:P,"&gt;"&amp;P50)+1</f>
        <v>6</v>
      </c>
      <c r="P50" s="25" t="n">
        <f aca="false">SUMIFS(L:L,A:A,A50,B:B,B50)</f>
        <v>0.131386861313869</v>
      </c>
    </row>
    <row r="51" customFormat="false" ht="13.8" hidden="false" customHeight="false" outlineLevel="0" collapsed="false">
      <c r="A51" s="1" t="s">
        <v>283</v>
      </c>
      <c r="B51" s="27" t="s">
        <v>19</v>
      </c>
      <c r="C51" s="1" t="s">
        <v>289</v>
      </c>
      <c r="D51" s="1" t="n">
        <v>322</v>
      </c>
      <c r="E51" s="25" t="n">
        <v>0.13</v>
      </c>
      <c r="F51" s="1" t="n">
        <v>2478</v>
      </c>
      <c r="G51" s="1" t="n">
        <v>11085</v>
      </c>
      <c r="H51" s="28" t="n">
        <f aca="false">ROUND(D51*IF(ISNUMBER(SEARCH("Labour",B51)),National!$L$4,IF(ISNUMBER(SEARCH("Conservative",B51)),National!$L$5,IF(OR(ISNUMBER(SEARCH("Reform",B51)),ISNUMBER(SEARCH("RefUK",B51))),National!$L$6,IF(ISNUMBER(SEARCH("Green",B51)),National!$L$7,IF(OR(ISNUMBER(SEARCH("Liberal Democrat",B51)),ISNUMBER(SEARCH("Lib Dem",B51))),National!$L$8,National!$L$9))))),0)</f>
        <v>451</v>
      </c>
      <c r="I51" s="25" t="n">
        <f aca="false">H51/SUMIFS(H:H,A:A,A51)</f>
        <v>0.111220715166461</v>
      </c>
      <c r="J51" s="29" t="n">
        <f aca="false">ROUND(I51*SUMIF(A:A,A51,D:D),0)</f>
        <v>744</v>
      </c>
      <c r="K51" s="24" t="n">
        <f aca="false">ROUND(AVERAGEIFS(J:J,A:A,A51,B:B,B51)/COUNTIFS(B:B,B51,A:A,A51),0)</f>
        <v>744</v>
      </c>
      <c r="L51" s="25" t="n">
        <f aca="false">K51/SUMIF(A:A,A51,K:K)</f>
        <v>0.201135442011354</v>
      </c>
      <c r="M51" s="1" t="n">
        <f aca="false">ROUND(SUMIF(A:A,A51,J:J)*L51,0)</f>
        <v>1345</v>
      </c>
      <c r="N51" s="1" t="str">
        <f aca="false">IF(O51=1,"Yes",IF(AND(O51&gt;1,SUMIFS(L:L,B:B,"&lt;&gt;Green",A:A,A51)+5%&gt;=SUMIFS(L:L,A:A,A51,B:B,"&lt;&gt;Green",O:O,1)),"No","Yes"))</f>
        <v>No</v>
      </c>
      <c r="O51" s="1" t="n">
        <f aca="false">COUNTIFS(A:A,A51,P:P,"&gt;"&amp;P51)+1</f>
        <v>5</v>
      </c>
      <c r="P51" s="25" t="n">
        <f aca="false">SUMIFS(L:L,A:A,A51,B:B,B51)</f>
        <v>0.201135442011354</v>
      </c>
    </row>
    <row r="52" customFormat="false" ht="13.8" hidden="false" customHeight="false" outlineLevel="0" collapsed="false">
      <c r="A52" s="1" t="s">
        <v>290</v>
      </c>
      <c r="B52" s="27" t="s">
        <v>241</v>
      </c>
      <c r="C52" s="1" t="s">
        <v>291</v>
      </c>
      <c r="D52" s="1" t="n">
        <v>1709</v>
      </c>
      <c r="E52" s="25" t="n">
        <v>0.652</v>
      </c>
      <c r="F52" s="1" t="n">
        <v>2620</v>
      </c>
      <c r="G52" s="1" t="n">
        <v>7463</v>
      </c>
      <c r="H52" s="28" t="n">
        <f aca="false">ROUND(D52*IF(ISNUMBER(SEARCH("Labour",B52)),National!$L$4,IF(ISNUMBER(SEARCH("Conservative",B52)),National!$L$5,IF(OR(ISNUMBER(SEARCH("Reform",B52)),ISNUMBER(SEARCH("RefUK",B52))),National!$L$6,IF(ISNUMBER(SEARCH("Green",B52)),National!$L$7,IF(OR(ISNUMBER(SEARCH("Liberal Democrat",B52)),ISNUMBER(SEARCH("Lib Dem",B52))),National!$L$8,National!$L$9))))),0)</f>
        <v>1117</v>
      </c>
      <c r="I52" s="25" t="n">
        <f aca="false">H52/SUMIFS(H:H,A:A,A52)</f>
        <v>0.311402286032897</v>
      </c>
      <c r="J52" s="29" t="n">
        <f aca="false">ROUND(I52*SUMIF(A:A,A52,D:D),0)</f>
        <v>1540</v>
      </c>
      <c r="K52" s="24" t="n">
        <f aca="false">ROUND(AVERAGEIFS(J:J,A:A,A52,B:B,B52)/COUNTIFS(B:B,B52,A:A,A52),0)</f>
        <v>749</v>
      </c>
      <c r="L52" s="25" t="n">
        <f aca="false">K52/SUMIF(A:A,A52,K:K)</f>
        <v>0.237100348211459</v>
      </c>
      <c r="M52" s="1" t="n">
        <f aca="false">ROUND(SUMIF(A:A,A52,J:J)*L52,0)</f>
        <v>1172</v>
      </c>
      <c r="N52" s="1" t="str">
        <f aca="false">IF(O52=1,"Yes",IF(AND(O52&gt;1,SUMIFS(L:L,B:B,"&lt;&gt;Green",A:A,A52)+5%&gt;=SUMIFS(L:L,A:A,A52,B:B,"&lt;&gt;Green",O:O,1)),"No","Yes"))</f>
        <v>Yes</v>
      </c>
      <c r="O52" s="1" t="n">
        <f aca="false">COUNTIFS(A:A,A52,P:P,"&gt;"&amp;P52)+1</f>
        <v>1</v>
      </c>
      <c r="P52" s="25" t="n">
        <f aca="false">SUMIFS(L:L,A:A,A52,B:B,B52)</f>
        <v>0.474200696422919</v>
      </c>
    </row>
    <row r="53" customFormat="false" ht="13.8" hidden="false" customHeight="false" outlineLevel="0" collapsed="false">
      <c r="A53" s="1" t="s">
        <v>290</v>
      </c>
      <c r="B53" s="27" t="s">
        <v>241</v>
      </c>
      <c r="C53" s="1" t="s">
        <v>292</v>
      </c>
      <c r="D53" s="1" t="n">
        <v>1617</v>
      </c>
      <c r="E53" s="25" t="n">
        <v>0.617</v>
      </c>
      <c r="F53" s="1" t="n">
        <v>2620</v>
      </c>
      <c r="G53" s="1" t="n">
        <v>7463</v>
      </c>
      <c r="H53" s="28" t="n">
        <f aca="false">ROUND(D53*IF(ISNUMBER(SEARCH("Labour",B53)),National!$L$4,IF(ISNUMBER(SEARCH("Conservative",B53)),National!$L$5,IF(OR(ISNUMBER(SEARCH("Reform",B53)),ISNUMBER(SEARCH("RefUK",B53))),National!$L$6,IF(ISNUMBER(SEARCH("Green",B53)),National!$L$7,IF(OR(ISNUMBER(SEARCH("Liberal Democrat",B53)),ISNUMBER(SEARCH("Lib Dem",B53))),National!$L$8,National!$L$9))))),0)</f>
        <v>1057</v>
      </c>
      <c r="I53" s="25" t="n">
        <f aca="false">H53/SUMIFS(H:H,A:A,A53)</f>
        <v>0.294675216057987</v>
      </c>
      <c r="J53" s="29" t="n">
        <f aca="false">ROUND(I53*SUMIF(A:A,A53,D:D),0)</f>
        <v>1457</v>
      </c>
      <c r="K53" s="24" t="n">
        <f aca="false">ROUND(AVERAGEIFS(J:J,A:A,A53,B:B,B53)/COUNTIFS(B:B,B53,A:A,A53),0)</f>
        <v>749</v>
      </c>
      <c r="L53" s="25" t="n">
        <f aca="false">K53/SUMIF(A:A,A53,K:K)</f>
        <v>0.237100348211459</v>
      </c>
      <c r="M53" s="1" t="n">
        <f aca="false">ROUND(SUMIF(A:A,A53,J:J)*L53,0)</f>
        <v>1172</v>
      </c>
      <c r="N53" s="1" t="str">
        <f aca="false">IF(O53=1,"Yes",IF(AND(O53&gt;1,SUMIFS(L:L,B:B,"&lt;&gt;Green",A:A,A53)+5%&gt;=SUMIFS(L:L,A:A,A53,B:B,"&lt;&gt;Green",O:O,1)),"No","Yes"))</f>
        <v>Yes</v>
      </c>
      <c r="O53" s="1" t="n">
        <f aca="false">COUNTIFS(A:A,A53,P:P,"&gt;"&amp;P53)+1</f>
        <v>1</v>
      </c>
      <c r="P53" s="25" t="n">
        <f aca="false">SUMIFS(L:L,A:A,A53,B:B,B53)</f>
        <v>0.474200696422919</v>
      </c>
    </row>
    <row r="54" customFormat="false" ht="13.8" hidden="false" customHeight="false" outlineLevel="0" collapsed="false">
      <c r="A54" s="1" t="s">
        <v>290</v>
      </c>
      <c r="B54" s="27" t="s">
        <v>216</v>
      </c>
      <c r="C54" s="1" t="s">
        <v>293</v>
      </c>
      <c r="D54" s="1" t="n">
        <v>603</v>
      </c>
      <c r="E54" s="25" t="n">
        <v>0.23</v>
      </c>
      <c r="F54" s="1" t="n">
        <v>2620</v>
      </c>
      <c r="G54" s="1" t="n">
        <v>7463</v>
      </c>
      <c r="H54" s="28" t="n">
        <f aca="false">ROUND(D54*IF(ISNUMBER(SEARCH("Labour",B54)),National!$L$4,IF(ISNUMBER(SEARCH("Conservative",B54)),National!$L$5,IF(OR(ISNUMBER(SEARCH("Reform",B54)),ISNUMBER(SEARCH("RefUK",B54))),National!$L$6,IF(ISNUMBER(SEARCH("Green",B54)),National!$L$7,IF(OR(ISNUMBER(SEARCH("Liberal Democrat",B54)),ISNUMBER(SEARCH("Lib Dem",B54))),National!$L$8,National!$L$9))))),0)</f>
        <v>238</v>
      </c>
      <c r="I54" s="25" t="n">
        <f aca="false">H54/SUMIFS(H:H,A:A,A54)</f>
        <v>0.0663507109004739</v>
      </c>
      <c r="J54" s="29" t="n">
        <f aca="false">ROUND(I54*SUMIF(A:A,A54,D:D),0)</f>
        <v>328</v>
      </c>
      <c r="K54" s="24" t="n">
        <f aca="false">ROUND(AVERAGEIFS(J:J,A:A,A54,B:B,B54)/COUNTIFS(B:B,B54,A:A,A54),0)</f>
        <v>143</v>
      </c>
      <c r="L54" s="25" t="n">
        <f aca="false">K54/SUMIF(A:A,A54,K:K)</f>
        <v>0.0452674897119342</v>
      </c>
      <c r="M54" s="1" t="n">
        <f aca="false">ROUND(SUMIF(A:A,A54,J:J)*L54,0)</f>
        <v>224</v>
      </c>
      <c r="N54" s="1" t="str">
        <f aca="false">IF(O54=1,"Yes",IF(AND(O54&gt;1,SUMIFS(L:L,B:B,"&lt;&gt;Green",A:A,A54)+5%&gt;=SUMIFS(L:L,A:A,A54,B:B,"&lt;&gt;Green",O:O,1)),"No","Yes"))</f>
        <v>No</v>
      </c>
      <c r="O54" s="1" t="n">
        <f aca="false">COUNTIFS(A:A,A54,P:P,"&gt;"&amp;P54)+1</f>
        <v>5</v>
      </c>
      <c r="P54" s="25" t="n">
        <f aca="false">SUMIFS(L:L,A:A,A54,B:B,B54)</f>
        <v>0.0905349794238683</v>
      </c>
    </row>
    <row r="55" customFormat="false" ht="13.8" hidden="false" customHeight="false" outlineLevel="0" collapsed="false">
      <c r="A55" s="1" t="s">
        <v>290</v>
      </c>
      <c r="B55" s="27" t="s">
        <v>216</v>
      </c>
      <c r="C55" s="1" t="s">
        <v>294</v>
      </c>
      <c r="D55" s="1" t="n">
        <v>450</v>
      </c>
      <c r="E55" s="25" t="n">
        <v>0.172</v>
      </c>
      <c r="F55" s="1" t="n">
        <v>2620</v>
      </c>
      <c r="G55" s="1" t="n">
        <v>7463</v>
      </c>
      <c r="H55" s="28" t="n">
        <f aca="false">ROUND(D55*IF(ISNUMBER(SEARCH("Labour",B55)),National!$L$4,IF(ISNUMBER(SEARCH("Conservative",B55)),National!$L$5,IF(OR(ISNUMBER(SEARCH("Reform",B55)),ISNUMBER(SEARCH("RefUK",B55))),National!$L$6,IF(ISNUMBER(SEARCH("Green",B55)),National!$L$7,IF(OR(ISNUMBER(SEARCH("Liberal Democrat",B55)),ISNUMBER(SEARCH("Lib Dem",B55))),National!$L$8,National!$L$9))))),0)</f>
        <v>178</v>
      </c>
      <c r="I55" s="25" t="n">
        <f aca="false">H55/SUMIFS(H:H,A:A,A55)</f>
        <v>0.0496236409255645</v>
      </c>
      <c r="J55" s="29" t="n">
        <f aca="false">ROUND(I55*SUMIF(A:A,A55,D:D),0)</f>
        <v>245</v>
      </c>
      <c r="K55" s="24" t="n">
        <f aca="false">ROUND(AVERAGEIFS(J:J,A:A,A55,B:B,B55)/COUNTIFS(B:B,B55,A:A,A55),0)</f>
        <v>143</v>
      </c>
      <c r="L55" s="25" t="n">
        <f aca="false">K55/SUMIF(A:A,A55,K:K)</f>
        <v>0.0452674897119342</v>
      </c>
      <c r="M55" s="1" t="n">
        <f aca="false">ROUND(SUMIF(A:A,A55,J:J)*L55,0)</f>
        <v>224</v>
      </c>
      <c r="N55" s="1" t="str">
        <f aca="false">IF(O55=1,"Yes",IF(AND(O55&gt;1,SUMIFS(L:L,B:B,"&lt;&gt;Green",A:A,A55)+5%&gt;=SUMIFS(L:L,A:A,A55,B:B,"&lt;&gt;Green",O:O,1)),"No","Yes"))</f>
        <v>No</v>
      </c>
      <c r="O55" s="1" t="n">
        <f aca="false">COUNTIFS(A:A,A55,P:P,"&gt;"&amp;P55)+1</f>
        <v>5</v>
      </c>
      <c r="P55" s="25" t="n">
        <f aca="false">SUMIFS(L:L,A:A,A55,B:B,B55)</f>
        <v>0.0905349794238683</v>
      </c>
    </row>
    <row r="56" customFormat="false" ht="13.8" hidden="false" customHeight="false" outlineLevel="0" collapsed="false">
      <c r="A56" s="1" t="s">
        <v>290</v>
      </c>
      <c r="B56" s="30" t="s">
        <v>219</v>
      </c>
      <c r="C56" s="1" t="s">
        <v>295</v>
      </c>
      <c r="D56" s="1" t="n">
        <v>237</v>
      </c>
      <c r="E56" s="25" t="n">
        <v>0.09</v>
      </c>
      <c r="F56" s="1" t="n">
        <v>2620</v>
      </c>
      <c r="G56" s="1" t="n">
        <v>7463</v>
      </c>
      <c r="H56" s="28" t="n">
        <f aca="false">ROUND(D56*IF(ISNUMBER(SEARCH("Labour",B56)),National!$L$4,IF(ISNUMBER(SEARCH("Conservative",B56)),National!$L$5,IF(OR(ISNUMBER(SEARCH("Reform",B56)),ISNUMBER(SEARCH("RefUK",B56))),National!$L$6,IF(ISNUMBER(SEARCH("Green",B56)),National!$L$7,IF(OR(ISNUMBER(SEARCH("Liberal Democrat",B56)),ISNUMBER(SEARCH("Lib Dem",B56))),National!$L$8,National!$L$9))))),0)</f>
        <v>563</v>
      </c>
      <c r="I56" s="25" t="n">
        <f aca="false">H56/SUMIFS(H:H,A:A,A56)</f>
        <v>0.156955673264567</v>
      </c>
      <c r="J56" s="29" t="n">
        <f aca="false">ROUND(I56*SUMIF(A:A,A56,D:D),0)</f>
        <v>776</v>
      </c>
      <c r="K56" s="24" t="n">
        <f aca="false">ROUND(AVERAGEIFS(J:J,A:A,A56,B:B,B56)/COUNTIFS(B:B,B56,A:A,A56),0)</f>
        <v>776</v>
      </c>
      <c r="L56" s="25" t="n">
        <f aca="false">K56/SUMIF(A:A,A56,K:K)</f>
        <v>0.245647356758468</v>
      </c>
      <c r="M56" s="1" t="n">
        <f aca="false">ROUND(SUMIF(A:A,A56,J:J)*L56,0)</f>
        <v>1215</v>
      </c>
      <c r="N56" s="1" t="str">
        <f aca="false">IF(O56=1,"Yes",IF(AND(O56&gt;1,SUMIFS(L:L,B:B,"&lt;&gt;Green",A:A,A56)+5%&gt;=SUMIFS(L:L,A:A,A56,B:B,"&lt;&gt;Green",O:O,1)),"No","Yes"))</f>
        <v>No</v>
      </c>
      <c r="O56" s="1" t="n">
        <f aca="false">COUNTIFS(A:A,A56,P:P,"&gt;"&amp;P56)+1</f>
        <v>3</v>
      </c>
      <c r="P56" s="25" t="n">
        <f aca="false">SUMIFS(L:L,A:A,A56,B:B,B56)</f>
        <v>0.245647356758468</v>
      </c>
    </row>
    <row r="57" customFormat="false" ht="13.8" hidden="false" customHeight="false" outlineLevel="0" collapsed="false">
      <c r="A57" s="1" t="s">
        <v>290</v>
      </c>
      <c r="B57" s="27" t="s">
        <v>19</v>
      </c>
      <c r="C57" s="1" t="s">
        <v>296</v>
      </c>
      <c r="D57" s="1" t="n">
        <v>222</v>
      </c>
      <c r="E57" s="25" t="n">
        <v>0.085</v>
      </c>
      <c r="F57" s="1" t="n">
        <v>2620</v>
      </c>
      <c r="G57" s="1" t="n">
        <v>7463</v>
      </c>
      <c r="H57" s="28" t="n">
        <f aca="false">ROUND(D57*IF(ISNUMBER(SEARCH("Labour",B57)),National!$L$4,IF(ISNUMBER(SEARCH("Conservative",B57)),National!$L$5,IF(OR(ISNUMBER(SEARCH("Reform",B57)),ISNUMBER(SEARCH("RefUK",B57))),National!$L$6,IF(ISNUMBER(SEARCH("Green",B57)),National!$L$7,IF(OR(ISNUMBER(SEARCH("Liberal Democrat",B57)),ISNUMBER(SEARCH("Lib Dem",B57))),National!$L$8,National!$L$9))))),0)</f>
        <v>311</v>
      </c>
      <c r="I57" s="25" t="n">
        <f aca="false">H57/SUMIFS(H:H,A:A,A57)</f>
        <v>0.086701979369947</v>
      </c>
      <c r="J57" s="29" t="n">
        <f aca="false">ROUND(I57*SUMIF(A:A,A57,D:D),0)</f>
        <v>429</v>
      </c>
      <c r="K57" s="24" t="n">
        <f aca="false">ROUND(AVERAGEIFS(J:J,A:A,A57,B:B,B57)/COUNTIFS(B:B,B57,A:A,A57),0)</f>
        <v>429</v>
      </c>
      <c r="L57" s="25" t="n">
        <f aca="false">K57/SUMIF(A:A,A57,K:K)</f>
        <v>0.135802469135802</v>
      </c>
      <c r="M57" s="1" t="n">
        <f aca="false">ROUND(SUMIF(A:A,A57,J:J)*L57,0)</f>
        <v>672</v>
      </c>
      <c r="N57" s="1" t="str">
        <f aca="false">IF(O57=1,"Yes",IF(AND(O57&gt;1,SUMIFS(L:L,B:B,"&lt;&gt;Green",A:A,A57)+5%&gt;=SUMIFS(L:L,A:A,A57,B:B,"&lt;&gt;Green",O:O,1)),"No","Yes"))</f>
        <v>No</v>
      </c>
      <c r="O57" s="1" t="n">
        <f aca="false">COUNTIFS(A:A,A57,P:P,"&gt;"&amp;P57)+1</f>
        <v>4</v>
      </c>
      <c r="P57" s="25" t="n">
        <f aca="false">SUMIFS(L:L,A:A,A57,B:B,B57)</f>
        <v>0.135802469135802</v>
      </c>
    </row>
    <row r="58" customFormat="false" ht="13.8" hidden="false" customHeight="false" outlineLevel="0" collapsed="false">
      <c r="A58" s="1" t="s">
        <v>290</v>
      </c>
      <c r="B58" s="27" t="s">
        <v>297</v>
      </c>
      <c r="C58" s="1" t="s">
        <v>298</v>
      </c>
      <c r="D58" s="1" t="n">
        <v>58</v>
      </c>
      <c r="E58" s="25" t="n">
        <v>0.022</v>
      </c>
      <c r="F58" s="1" t="n">
        <v>2620</v>
      </c>
      <c r="G58" s="1" t="n">
        <v>7463</v>
      </c>
      <c r="H58" s="28" t="n">
        <f aca="false">ROUND(D58*IF(ISNUMBER(SEARCH("Labour",B58)),National!$L$4,IF(ISNUMBER(SEARCH("Conservative",B58)),National!$L$5,IF(OR(ISNUMBER(SEARCH("Reform",B58)),ISNUMBER(SEARCH("RefUK",B58))),National!$L$6,IF(ISNUMBER(SEARCH("Green",B58)),National!$L$7,IF(OR(ISNUMBER(SEARCH("Liberal Democrat",B58)),ISNUMBER(SEARCH("Lib Dem",B58))),National!$L$8,National!$L$9))))),0)</f>
        <v>66</v>
      </c>
      <c r="I58" s="25" t="n">
        <f aca="false">H58/SUMIFS(H:H,A:A,A58)</f>
        <v>0.0183997769724003</v>
      </c>
      <c r="J58" s="29" t="n">
        <f aca="false">ROUND(I58*SUMIF(A:A,A58,D:D),0)</f>
        <v>91</v>
      </c>
      <c r="K58" s="24" t="n">
        <f aca="false">ROUND(AVERAGEIFS(J:J,A:A,A58,B:B,B58)/COUNTIFS(B:B,B58,A:A,A58),0)</f>
        <v>91</v>
      </c>
      <c r="L58" s="25" t="n">
        <f aca="false">K58/SUMIF(A:A,A58,K:K)</f>
        <v>0.0288065843621399</v>
      </c>
      <c r="M58" s="1" t="n">
        <f aca="false">ROUND(SUMIF(A:A,A58,J:J)*L58,0)</f>
        <v>142</v>
      </c>
      <c r="N58" s="1" t="str">
        <f aca="false">IF(O58=1,"Yes",IF(AND(O58&gt;1,SUMIFS(L:L,B:B,"&lt;&gt;Green",A:A,A58)+5%&gt;=SUMIFS(L:L,A:A,A58,B:B,"&lt;&gt;Green",O:O,1)),"No","Yes"))</f>
        <v>No</v>
      </c>
      <c r="O58" s="1" t="n">
        <f aca="false">COUNTIFS(A:A,A58,P:P,"&gt;"&amp;P58)+1</f>
        <v>7</v>
      </c>
      <c r="P58" s="25" t="n">
        <f aca="false">SUMIFS(L:L,A:A,A58,B:B,B58)</f>
        <v>0.0288065843621399</v>
      </c>
    </row>
    <row r="59" customFormat="false" ht="13.8" hidden="false" customHeight="false" outlineLevel="0" collapsed="false">
      <c r="A59" s="1" t="s">
        <v>290</v>
      </c>
      <c r="B59" s="27" t="s">
        <v>299</v>
      </c>
      <c r="C59" s="1" t="s">
        <v>300</v>
      </c>
      <c r="D59" s="1" t="n">
        <v>50</v>
      </c>
      <c r="E59" s="25" t="n">
        <v>0.019</v>
      </c>
      <c r="F59" s="1" t="n">
        <v>2620</v>
      </c>
      <c r="G59" s="1" t="n">
        <v>7463</v>
      </c>
      <c r="H59" s="28" t="n">
        <f aca="false">ROUND(D59*IF(ISNUMBER(SEARCH("Labour",B59)),National!$L$4,IF(ISNUMBER(SEARCH("Conservative",B59)),National!$L$5,IF(OR(ISNUMBER(SEARCH("Reform",B59)),ISNUMBER(SEARCH("RefUK",B59))),National!$L$6,IF(ISNUMBER(SEARCH("Green",B59)),National!$L$7,IF(OR(ISNUMBER(SEARCH("Liberal Democrat",B59)),ISNUMBER(SEARCH("Lib Dem",B59))),National!$L$8,National!$L$9))))),0)</f>
        <v>57</v>
      </c>
      <c r="I59" s="25" t="n">
        <f aca="false">H59/SUMIFS(H:H,A:A,A59)</f>
        <v>0.0158907164761639</v>
      </c>
      <c r="J59" s="29" t="n">
        <f aca="false">ROUND(I59*SUMIF(A:A,A59,D:D),0)</f>
        <v>79</v>
      </c>
      <c r="K59" s="24" t="n">
        <f aca="false">ROUND(AVERAGEIFS(J:J,A:A,A59,B:B,B59)/COUNTIFS(B:B,B59,A:A,A59),0)</f>
        <v>79</v>
      </c>
      <c r="L59" s="25" t="n">
        <f aca="false">K59/SUMIF(A:A,A59,K:K)</f>
        <v>0.0250079138968028</v>
      </c>
      <c r="M59" s="1" t="n">
        <f aca="false">ROUND(SUMIF(A:A,A59,J:J)*L59,0)</f>
        <v>124</v>
      </c>
      <c r="N59" s="1" t="str">
        <f aca="false">IF(O59=1,"Yes",IF(AND(O59&gt;1,SUMIFS(L:L,B:B,"&lt;&gt;Green",A:A,A59)+5%&gt;=SUMIFS(L:L,A:A,A59,B:B,"&lt;&gt;Green",O:O,1)),"No","Yes"))</f>
        <v>No</v>
      </c>
      <c r="O59" s="1" t="n">
        <f aca="false">COUNTIFS(A:A,A59,P:P,"&gt;"&amp;P59)+1</f>
        <v>8</v>
      </c>
      <c r="P59" s="25" t="n">
        <f aca="false">SUMIFS(L:L,A:A,A59,B:B,B59)</f>
        <v>0.0250079138968028</v>
      </c>
    </row>
    <row r="60" customFormat="false" ht="13.8" hidden="false" customHeight="false" outlineLevel="0" collapsed="false">
      <c r="A60" s="1" t="s">
        <v>301</v>
      </c>
      <c r="B60" s="27" t="s">
        <v>23</v>
      </c>
      <c r="C60" s="1" t="s">
        <v>302</v>
      </c>
      <c r="D60" s="1" t="n">
        <v>2388</v>
      </c>
      <c r="E60" s="25" t="n">
        <v>0.713</v>
      </c>
      <c r="F60" s="1" t="n">
        <v>3349</v>
      </c>
      <c r="G60" s="1" t="n">
        <v>10049</v>
      </c>
      <c r="H60" s="28" t="n">
        <f aca="false">ROUND(D60*IF(ISNUMBER(SEARCH("Labour",B60)),National!$L$4,IF(ISNUMBER(SEARCH("Conservative",B60)),National!$L$5,IF(OR(ISNUMBER(SEARCH("Reform",B60)),ISNUMBER(SEARCH("RefUK",B60))),National!$L$6,IF(ISNUMBER(SEARCH("Green",B60)),National!$L$7,IF(OR(ISNUMBER(SEARCH("Liberal Democrat",B60)),ISNUMBER(SEARCH("Lib Dem",B60))),National!$L$8,National!$L$9))))),0)</f>
        <v>2729</v>
      </c>
      <c r="I60" s="25" t="n">
        <f aca="false">H60/SUMIFS(H:H,A:A,A60)</f>
        <v>0.275184027427649</v>
      </c>
      <c r="J60" s="29" t="n">
        <f aca="false">ROUND(I60*SUMIF(A:A,A60,D:D),0)</f>
        <v>2604</v>
      </c>
      <c r="K60" s="24" t="n">
        <f aca="false">ROUND(AVERAGEIFS(J:J,A:A,A60,B:B,B60)/COUNTIFS(B:B,B60,A:A,A60),0)</f>
        <v>836</v>
      </c>
      <c r="L60" s="25" t="n">
        <f aca="false">K60/SUMIF(A:A,A60,K:K)</f>
        <v>0.228352909041246</v>
      </c>
      <c r="M60" s="1" t="n">
        <f aca="false">ROUND(SUMIF(A:A,A60,J:J)*L60,0)</f>
        <v>2161</v>
      </c>
      <c r="N60" s="1" t="str">
        <f aca="false">IF(O60=1,"Yes",IF(AND(O60&gt;1,SUMIFS(L:L,B:B,"&lt;&gt;Green",A:A,A60)+5%&gt;=SUMIFS(L:L,A:A,A60,B:B,"&lt;&gt;Green",O:O,1)),"No","Yes"))</f>
        <v>Yes</v>
      </c>
      <c r="O60" s="1" t="n">
        <f aca="false">COUNTIFS(A:A,A60,P:P,"&gt;"&amp;P60)+1</f>
        <v>1</v>
      </c>
      <c r="P60" s="25" t="n">
        <f aca="false">SUMIFS(L:L,A:A,A60,B:B,B60)</f>
        <v>0.685058727123737</v>
      </c>
    </row>
    <row r="61" customFormat="false" ht="13.8" hidden="false" customHeight="false" outlineLevel="0" collapsed="false">
      <c r="A61" s="1" t="s">
        <v>301</v>
      </c>
      <c r="B61" s="27" t="s">
        <v>23</v>
      </c>
      <c r="C61" s="1" t="s">
        <v>303</v>
      </c>
      <c r="D61" s="1" t="n">
        <v>2279</v>
      </c>
      <c r="E61" s="25" t="n">
        <v>0.681</v>
      </c>
      <c r="F61" s="1" t="n">
        <v>3349</v>
      </c>
      <c r="G61" s="1" t="n">
        <v>10049</v>
      </c>
      <c r="H61" s="28" t="n">
        <f aca="false">ROUND(D61*IF(ISNUMBER(SEARCH("Labour",B61)),National!$L$4,IF(ISNUMBER(SEARCH("Conservative",B61)),National!$L$5,IF(OR(ISNUMBER(SEARCH("Reform",B61)),ISNUMBER(SEARCH("RefUK",B61))),National!$L$6,IF(ISNUMBER(SEARCH("Green",B61)),National!$L$7,IF(OR(ISNUMBER(SEARCH("Liberal Democrat",B61)),ISNUMBER(SEARCH("Lib Dem",B61))),National!$L$8,National!$L$9))))),0)</f>
        <v>2605</v>
      </c>
      <c r="I61" s="25" t="n">
        <f aca="false">H61/SUMIFS(H:H,A:A,A61)</f>
        <v>0.26268024604215</v>
      </c>
      <c r="J61" s="29" t="n">
        <f aca="false">ROUND(I61*SUMIF(A:A,A61,D:D),0)</f>
        <v>2486</v>
      </c>
      <c r="K61" s="24" t="n">
        <f aca="false">ROUND(AVERAGEIFS(J:J,A:A,A61,B:B,B61)/COUNTIFS(B:B,B61,A:A,A61),0)</f>
        <v>836</v>
      </c>
      <c r="L61" s="25" t="n">
        <f aca="false">K61/SUMIF(A:A,A61,K:K)</f>
        <v>0.228352909041246</v>
      </c>
      <c r="M61" s="1" t="n">
        <f aca="false">ROUND(SUMIF(A:A,A61,J:J)*L61,0)</f>
        <v>2161</v>
      </c>
      <c r="N61" s="1" t="str">
        <f aca="false">IF(O61=1,"Yes",IF(AND(O61&gt;1,SUMIFS(L:L,B:B,"&lt;&gt;Green",A:A,A61)+5%&gt;=SUMIFS(L:L,A:A,A61,B:B,"&lt;&gt;Green",O:O,1)),"No","Yes"))</f>
        <v>Yes</v>
      </c>
      <c r="O61" s="1" t="n">
        <f aca="false">COUNTIFS(A:A,A61,P:P,"&gt;"&amp;P61)+1</f>
        <v>1</v>
      </c>
      <c r="P61" s="25" t="n">
        <f aca="false">SUMIFS(L:L,A:A,A61,B:B,B61)</f>
        <v>0.685058727123737</v>
      </c>
    </row>
    <row r="62" customFormat="false" ht="13.8" hidden="false" customHeight="false" outlineLevel="0" collapsed="false">
      <c r="A62" s="1" t="s">
        <v>301</v>
      </c>
      <c r="B62" s="27" t="s">
        <v>23</v>
      </c>
      <c r="C62" s="1" t="s">
        <v>304</v>
      </c>
      <c r="D62" s="1" t="n">
        <v>2230</v>
      </c>
      <c r="E62" s="25" t="n">
        <v>0.666</v>
      </c>
      <c r="F62" s="1" t="n">
        <v>3349</v>
      </c>
      <c r="G62" s="1" t="n">
        <v>10049</v>
      </c>
      <c r="H62" s="28" t="n">
        <f aca="false">ROUND(D62*IF(ISNUMBER(SEARCH("Labour",B62)),National!$L$4,IF(ISNUMBER(SEARCH("Conservative",B62)),National!$L$5,IF(OR(ISNUMBER(SEARCH("Reform",B62)),ISNUMBER(SEARCH("RefUK",B62))),National!$L$6,IF(ISNUMBER(SEARCH("Green",B62)),National!$L$7,IF(OR(ISNUMBER(SEARCH("Liberal Democrat",B62)),ISNUMBER(SEARCH("Lib Dem",B62))),National!$L$8,National!$L$9))))),0)</f>
        <v>2549</v>
      </c>
      <c r="I62" s="25" t="n">
        <f aca="false">H62/SUMIFS(H:H,A:A,A62)</f>
        <v>0.257033377029344</v>
      </c>
      <c r="J62" s="29" t="n">
        <f aca="false">ROUND(I62*SUMIF(A:A,A62,D:D),0)</f>
        <v>2432</v>
      </c>
      <c r="K62" s="24" t="n">
        <f aca="false">ROUND(AVERAGEIFS(J:J,A:A,A62,B:B,B62)/COUNTIFS(B:B,B62,A:A,A62),0)</f>
        <v>836</v>
      </c>
      <c r="L62" s="25" t="n">
        <f aca="false">K62/SUMIF(A:A,A62,K:K)</f>
        <v>0.228352909041246</v>
      </c>
      <c r="M62" s="1" t="n">
        <f aca="false">ROUND(SUMIF(A:A,A62,J:J)*L62,0)</f>
        <v>2161</v>
      </c>
      <c r="N62" s="1" t="str">
        <f aca="false">IF(O62=1,"Yes",IF(AND(O62&gt;1,SUMIFS(L:L,B:B,"&lt;&gt;Green",A:A,A62)+5%&gt;=SUMIFS(L:L,A:A,A62,B:B,"&lt;&gt;Green",O:O,1)),"No","Yes"))</f>
        <v>Yes</v>
      </c>
      <c r="O62" s="1" t="n">
        <f aca="false">COUNTIFS(A:A,A62,P:P,"&gt;"&amp;P62)+1</f>
        <v>1</v>
      </c>
      <c r="P62" s="25" t="n">
        <f aca="false">SUMIFS(L:L,A:A,A62,B:B,B62)</f>
        <v>0.685058727123737</v>
      </c>
    </row>
    <row r="63" customFormat="false" ht="13.8" hidden="false" customHeight="false" outlineLevel="0" collapsed="false">
      <c r="A63" s="1" t="s">
        <v>301</v>
      </c>
      <c r="B63" s="27" t="s">
        <v>241</v>
      </c>
      <c r="C63" s="1" t="s">
        <v>305</v>
      </c>
      <c r="D63" s="1" t="n">
        <v>465</v>
      </c>
      <c r="E63" s="25" t="n">
        <v>0.139</v>
      </c>
      <c r="F63" s="1" t="n">
        <v>3349</v>
      </c>
      <c r="G63" s="1" t="n">
        <v>10049</v>
      </c>
      <c r="H63" s="28" t="n">
        <f aca="false">ROUND(D63*IF(ISNUMBER(SEARCH("Labour",B63)),National!$L$4,IF(ISNUMBER(SEARCH("Conservative",B63)),National!$L$5,IF(OR(ISNUMBER(SEARCH("Reform",B63)),ISNUMBER(SEARCH("RefUK",B63))),National!$L$6,IF(ISNUMBER(SEARCH("Green",B63)),National!$L$7,IF(OR(ISNUMBER(SEARCH("Liberal Democrat",B63)),ISNUMBER(SEARCH("Lib Dem",B63))),National!$L$8,National!$L$9))))),0)</f>
        <v>304</v>
      </c>
      <c r="I63" s="25" t="n">
        <f aca="false">H63/SUMIFS(H:H,A:A,A63)</f>
        <v>0.0306544317838056</v>
      </c>
      <c r="J63" s="29" t="n">
        <f aca="false">ROUND(I63*SUMIF(A:A,A63,D:D),0)</f>
        <v>290</v>
      </c>
      <c r="K63" s="24" t="n">
        <f aca="false">ROUND(AVERAGEIFS(J:J,A:A,A63,B:B,B63)/COUNTIFS(B:B,B63,A:A,A63),0)</f>
        <v>90</v>
      </c>
      <c r="L63" s="25" t="n">
        <f aca="false">K63/SUMIF(A:A,A63,K:K)</f>
        <v>0.0245834471455886</v>
      </c>
      <c r="M63" s="1" t="n">
        <f aca="false">ROUND(SUMIF(A:A,A63,J:J)*L63,0)</f>
        <v>233</v>
      </c>
      <c r="N63" s="1" t="str">
        <f aca="false">IF(O63=1,"Yes",IF(AND(O63&gt;1,SUMIFS(L:L,B:B,"&lt;&gt;Green",A:A,A63)+5%&gt;=SUMIFS(L:L,A:A,A63,B:B,"&lt;&gt;Green",O:O,1)),"No","Yes"))</f>
        <v>No</v>
      </c>
      <c r="O63" s="1" t="n">
        <f aca="false">COUNTIFS(A:A,A63,P:P,"&gt;"&amp;P63)+1</f>
        <v>6</v>
      </c>
      <c r="P63" s="25" t="n">
        <f aca="false">SUMIFS(L:L,A:A,A63,B:B,B63)</f>
        <v>0.0737503414367659</v>
      </c>
    </row>
    <row r="64" customFormat="false" ht="13.8" hidden="false" customHeight="false" outlineLevel="0" collapsed="false">
      <c r="A64" s="1" t="s">
        <v>301</v>
      </c>
      <c r="B64" s="27" t="s">
        <v>241</v>
      </c>
      <c r="C64" s="1" t="s">
        <v>306</v>
      </c>
      <c r="D64" s="1" t="n">
        <v>427</v>
      </c>
      <c r="E64" s="25" t="n">
        <v>0.128</v>
      </c>
      <c r="F64" s="1" t="n">
        <v>3349</v>
      </c>
      <c r="G64" s="1" t="n">
        <v>10049</v>
      </c>
      <c r="H64" s="28" t="n">
        <f aca="false">ROUND(D64*IF(ISNUMBER(SEARCH("Labour",B64)),National!$L$4,IF(ISNUMBER(SEARCH("Conservative",B64)),National!$L$5,IF(OR(ISNUMBER(SEARCH("Reform",B64)),ISNUMBER(SEARCH("RefUK",B64))),National!$L$6,IF(ISNUMBER(SEARCH("Green",B64)),National!$L$7,IF(OR(ISNUMBER(SEARCH("Liberal Democrat",B64)),ISNUMBER(SEARCH("Lib Dem",B64))),National!$L$8,National!$L$9))))),0)</f>
        <v>279</v>
      </c>
      <c r="I64" s="25" t="n">
        <f aca="false">H64/SUMIFS(H:H,A:A,A64)</f>
        <v>0.0281335081173742</v>
      </c>
      <c r="J64" s="29" t="n">
        <f aca="false">ROUND(I64*SUMIF(A:A,A64,D:D),0)</f>
        <v>266</v>
      </c>
      <c r="K64" s="24" t="n">
        <f aca="false">ROUND(AVERAGEIFS(J:J,A:A,A64,B:B,B64)/COUNTIFS(B:B,B64,A:A,A64),0)</f>
        <v>90</v>
      </c>
      <c r="L64" s="25" t="n">
        <f aca="false">K64/SUMIF(A:A,A64,K:K)</f>
        <v>0.0245834471455886</v>
      </c>
      <c r="M64" s="1" t="n">
        <f aca="false">ROUND(SUMIF(A:A,A64,J:J)*L64,0)</f>
        <v>233</v>
      </c>
      <c r="N64" s="1" t="str">
        <f aca="false">IF(O64=1,"Yes",IF(AND(O64&gt;1,SUMIFS(L:L,B:B,"&lt;&gt;Green",A:A,A64)+5%&gt;=SUMIFS(L:L,A:A,A64,B:B,"&lt;&gt;Green",O:O,1)),"No","Yes"))</f>
        <v>No</v>
      </c>
      <c r="O64" s="1" t="n">
        <f aca="false">COUNTIFS(A:A,A64,P:P,"&gt;"&amp;P64)+1</f>
        <v>6</v>
      </c>
      <c r="P64" s="25" t="n">
        <f aca="false">SUMIFS(L:L,A:A,A64,B:B,B64)</f>
        <v>0.0737503414367659</v>
      </c>
    </row>
    <row r="65" customFormat="false" ht="13.8" hidden="false" customHeight="false" outlineLevel="0" collapsed="false">
      <c r="A65" s="1" t="s">
        <v>301</v>
      </c>
      <c r="B65" s="27" t="s">
        <v>241</v>
      </c>
      <c r="C65" s="1" t="s">
        <v>87</v>
      </c>
      <c r="D65" s="1" t="n">
        <v>409</v>
      </c>
      <c r="E65" s="25" t="n">
        <v>0.122</v>
      </c>
      <c r="F65" s="1" t="n">
        <v>3349</v>
      </c>
      <c r="G65" s="1" t="n">
        <v>10049</v>
      </c>
      <c r="H65" s="28" t="n">
        <f aca="false">ROUND(D65*IF(ISNUMBER(SEARCH("Labour",B65)),National!$L$4,IF(ISNUMBER(SEARCH("Conservative",B65)),National!$L$5,IF(OR(ISNUMBER(SEARCH("Reform",B65)),ISNUMBER(SEARCH("RefUK",B65))),National!$L$6,IF(ISNUMBER(SEARCH("Green",B65)),National!$L$7,IF(OR(ISNUMBER(SEARCH("Liberal Democrat",B65)),ISNUMBER(SEARCH("Lib Dem",B65))),National!$L$8,National!$L$9))))),0)</f>
        <v>267</v>
      </c>
      <c r="I65" s="25" t="n">
        <f aca="false">H65/SUMIFS(H:H,A:A,A65)</f>
        <v>0.0269234647574871</v>
      </c>
      <c r="J65" s="29" t="n">
        <f aca="false">ROUND(I65*SUMIF(A:A,A65,D:D),0)</f>
        <v>255</v>
      </c>
      <c r="K65" s="24" t="n">
        <f aca="false">ROUND(AVERAGEIFS(J:J,A:A,A65,B:B,B65)/COUNTIFS(B:B,B65,A:A,A65),0)</f>
        <v>90</v>
      </c>
      <c r="L65" s="25" t="n">
        <f aca="false">K65/SUMIF(A:A,A65,K:K)</f>
        <v>0.0245834471455886</v>
      </c>
      <c r="M65" s="1" t="n">
        <f aca="false">ROUND(SUMIF(A:A,A65,J:J)*L65,0)</f>
        <v>233</v>
      </c>
      <c r="N65" s="1" t="str">
        <f aca="false">IF(O65=1,"Yes",IF(AND(O65&gt;1,SUMIFS(L:L,B:B,"&lt;&gt;Green",A:A,A65)+5%&gt;=SUMIFS(L:L,A:A,A65,B:B,"&lt;&gt;Green",O:O,1)),"No","Yes"))</f>
        <v>No</v>
      </c>
      <c r="O65" s="1" t="n">
        <f aca="false">COUNTIFS(A:A,A65,P:P,"&gt;"&amp;P65)+1</f>
        <v>6</v>
      </c>
      <c r="P65" s="25" t="n">
        <f aca="false">SUMIFS(L:L,A:A,A65,B:B,B65)</f>
        <v>0.0737503414367659</v>
      </c>
    </row>
    <row r="66" customFormat="false" ht="13.8" hidden="false" customHeight="false" outlineLevel="0" collapsed="false">
      <c r="A66" s="1" t="s">
        <v>301</v>
      </c>
      <c r="B66" s="27" t="s">
        <v>216</v>
      </c>
      <c r="C66" s="1" t="s">
        <v>82</v>
      </c>
      <c r="D66" s="1" t="n">
        <v>358</v>
      </c>
      <c r="E66" s="25" t="n">
        <v>0.107</v>
      </c>
      <c r="F66" s="1" t="n">
        <v>3349</v>
      </c>
      <c r="G66" s="1" t="n">
        <v>10049</v>
      </c>
      <c r="H66" s="28" t="n">
        <f aca="false">ROUND(D66*IF(ISNUMBER(SEARCH("Labour",B66)),National!$L$4,IF(ISNUMBER(SEARCH("Conservative",B66)),National!$L$5,IF(OR(ISNUMBER(SEARCH("Reform",B66)),ISNUMBER(SEARCH("RefUK",B66))),National!$L$6,IF(ISNUMBER(SEARCH("Green",B66)),National!$L$7,IF(OR(ISNUMBER(SEARCH("Liberal Democrat",B66)),ISNUMBER(SEARCH("Lib Dem",B66))),National!$L$8,National!$L$9))))),0)</f>
        <v>142</v>
      </c>
      <c r="I66" s="25" t="n">
        <f aca="false">H66/SUMIFS(H:H,A:A,A66)</f>
        <v>0.0143188464253302</v>
      </c>
      <c r="J66" s="29" t="n">
        <f aca="false">ROUND(I66*SUMIF(A:A,A66,D:D),0)</f>
        <v>135</v>
      </c>
      <c r="K66" s="24" t="n">
        <f aca="false">ROUND(AVERAGEIFS(J:J,A:A,A66,B:B,B66)/COUNTIFS(B:B,B66,A:A,A66),0)</f>
        <v>41</v>
      </c>
      <c r="L66" s="25" t="n">
        <f aca="false">K66/SUMIF(A:A,A66,K:K)</f>
        <v>0.0111991259218793</v>
      </c>
      <c r="M66" s="1" t="n">
        <f aca="false">ROUND(SUMIF(A:A,A66,J:J)*L66,0)</f>
        <v>106</v>
      </c>
      <c r="N66" s="1" t="str">
        <f aca="false">IF(O66=1,"Yes",IF(AND(O66&gt;1,SUMIFS(L:L,B:B,"&lt;&gt;Green",A:A,A66)+5%&gt;=SUMIFS(L:L,A:A,A66,B:B,"&lt;&gt;Green",O:O,1)),"No","Yes"))</f>
        <v>No</v>
      </c>
      <c r="O66" s="1" t="n">
        <f aca="false">COUNTIFS(A:A,A66,P:P,"&gt;"&amp;P66)+1</f>
        <v>9</v>
      </c>
      <c r="P66" s="25" t="n">
        <f aca="false">SUMIFS(L:L,A:A,A66,B:B,B66)</f>
        <v>0.0335973777656378</v>
      </c>
    </row>
    <row r="67" customFormat="false" ht="13.8" hidden="false" customHeight="false" outlineLevel="0" collapsed="false">
      <c r="A67" s="1" t="s">
        <v>301</v>
      </c>
      <c r="B67" s="27" t="s">
        <v>216</v>
      </c>
      <c r="C67" s="1" t="s">
        <v>307</v>
      </c>
      <c r="D67" s="1" t="n">
        <v>336</v>
      </c>
      <c r="E67" s="25" t="n">
        <v>0.1</v>
      </c>
      <c r="F67" s="1" t="n">
        <v>3349</v>
      </c>
      <c r="G67" s="1" t="n">
        <v>10049</v>
      </c>
      <c r="H67" s="28" t="n">
        <f aca="false">ROUND(D67*IF(ISNUMBER(SEARCH("Labour",B67)),National!$L$4,IF(ISNUMBER(SEARCH("Conservative",B67)),National!$L$5,IF(OR(ISNUMBER(SEARCH("Reform",B67)),ISNUMBER(SEARCH("RefUK",B67))),National!$L$6,IF(ISNUMBER(SEARCH("Green",B67)),National!$L$7,IF(OR(ISNUMBER(SEARCH("Liberal Democrat",B67)),ISNUMBER(SEARCH("Lib Dem",B67))),National!$L$8,National!$L$9))))),0)</f>
        <v>133</v>
      </c>
      <c r="I67" s="25" t="n">
        <f aca="false">H67/SUMIFS(H:H,A:A,A67)</f>
        <v>0.0134113139054149</v>
      </c>
      <c r="J67" s="29" t="n">
        <f aca="false">ROUND(I67*SUMIF(A:A,A67,D:D),0)</f>
        <v>127</v>
      </c>
      <c r="K67" s="24" t="n">
        <f aca="false">ROUND(AVERAGEIFS(J:J,A:A,A67,B:B,B67)/COUNTIFS(B:B,B67,A:A,A67),0)</f>
        <v>41</v>
      </c>
      <c r="L67" s="25" t="n">
        <f aca="false">K67/SUMIF(A:A,A67,K:K)</f>
        <v>0.0111991259218793</v>
      </c>
      <c r="M67" s="1" t="n">
        <f aca="false">ROUND(SUMIF(A:A,A67,J:J)*L67,0)</f>
        <v>106</v>
      </c>
      <c r="N67" s="1" t="str">
        <f aca="false">IF(O67=1,"Yes",IF(AND(O67&gt;1,SUMIFS(L:L,B:B,"&lt;&gt;Green",A:A,A67)+5%&gt;=SUMIFS(L:L,A:A,A67,B:B,"&lt;&gt;Green",O:O,1)),"No","Yes"))</f>
        <v>No</v>
      </c>
      <c r="O67" s="1" t="n">
        <f aca="false">COUNTIFS(A:A,A67,P:P,"&gt;"&amp;P67)+1</f>
        <v>9</v>
      </c>
      <c r="P67" s="25" t="n">
        <f aca="false">SUMIFS(L:L,A:A,A67,B:B,B67)</f>
        <v>0.0335973777656378</v>
      </c>
    </row>
    <row r="68" customFormat="false" ht="13.8" hidden="false" customHeight="false" outlineLevel="0" collapsed="false">
      <c r="A68" s="1" t="s">
        <v>301</v>
      </c>
      <c r="B68" s="27" t="s">
        <v>216</v>
      </c>
      <c r="C68" s="1" t="s">
        <v>308</v>
      </c>
      <c r="D68" s="1" t="n">
        <v>286</v>
      </c>
      <c r="E68" s="25" t="n">
        <v>0.085</v>
      </c>
      <c r="F68" s="1" t="n">
        <v>3349</v>
      </c>
      <c r="G68" s="1" t="n">
        <v>10049</v>
      </c>
      <c r="H68" s="28" t="n">
        <f aca="false">ROUND(D68*IF(ISNUMBER(SEARCH("Labour",B68)),National!$L$4,IF(ISNUMBER(SEARCH("Conservative",B68)),National!$L$5,IF(OR(ISNUMBER(SEARCH("Reform",B68)),ISNUMBER(SEARCH("RefUK",B68))),National!$L$6,IF(ISNUMBER(SEARCH("Green",B68)),National!$L$7,IF(OR(ISNUMBER(SEARCH("Liberal Democrat",B68)),ISNUMBER(SEARCH("Lib Dem",B68))),National!$L$8,National!$L$9))))),0)</f>
        <v>113</v>
      </c>
      <c r="I68" s="25" t="n">
        <f aca="false">H68/SUMIFS(H:H,A:A,A68)</f>
        <v>0.0113945749722698</v>
      </c>
      <c r="J68" s="29" t="n">
        <f aca="false">ROUND(I68*SUMIF(A:A,A68,D:D),0)</f>
        <v>108</v>
      </c>
      <c r="K68" s="24" t="n">
        <f aca="false">ROUND(AVERAGEIFS(J:J,A:A,A68,B:B,B68)/COUNTIFS(B:B,B68,A:A,A68),0)</f>
        <v>41</v>
      </c>
      <c r="L68" s="25" t="n">
        <f aca="false">K68/SUMIF(A:A,A68,K:K)</f>
        <v>0.0111991259218793</v>
      </c>
      <c r="M68" s="1" t="n">
        <f aca="false">ROUND(SUMIF(A:A,A68,J:J)*L68,0)</f>
        <v>106</v>
      </c>
      <c r="N68" s="1" t="str">
        <f aca="false">IF(O68=1,"Yes",IF(AND(O68&gt;1,SUMIFS(L:L,B:B,"&lt;&gt;Green",A:A,A68)+5%&gt;=SUMIFS(L:L,A:A,A68,B:B,"&lt;&gt;Green",O:O,1)),"No","Yes"))</f>
        <v>No</v>
      </c>
      <c r="O68" s="1" t="n">
        <f aca="false">COUNTIFS(A:A,A68,P:P,"&gt;"&amp;P68)+1</f>
        <v>9</v>
      </c>
      <c r="P68" s="25" t="n">
        <f aca="false">SUMIFS(L:L,A:A,A68,B:B,B68)</f>
        <v>0.0335973777656378</v>
      </c>
    </row>
    <row r="69" customFormat="false" ht="13.8" hidden="false" customHeight="false" outlineLevel="0" collapsed="false">
      <c r="A69" s="1" t="s">
        <v>301</v>
      </c>
      <c r="B69" s="30" t="s">
        <v>219</v>
      </c>
      <c r="C69" s="1" t="s">
        <v>309</v>
      </c>
      <c r="D69" s="1" t="n">
        <v>140</v>
      </c>
      <c r="E69" s="25" t="n">
        <v>0.042</v>
      </c>
      <c r="F69" s="1" t="n">
        <v>3349</v>
      </c>
      <c r="G69" s="1" t="n">
        <v>10049</v>
      </c>
      <c r="H69" s="28" t="n">
        <f aca="false">ROUND(D69*IF(ISNUMBER(SEARCH("Labour",B69)),National!$L$4,IF(ISNUMBER(SEARCH("Conservative",B69)),National!$L$5,IF(OR(ISNUMBER(SEARCH("Reform",B69)),ISNUMBER(SEARCH("RefUK",B69))),National!$L$6,IF(ISNUMBER(SEARCH("Green",B69)),National!$L$7,IF(OR(ISNUMBER(SEARCH("Liberal Democrat",B69)),ISNUMBER(SEARCH("Lib Dem",B69))),National!$L$8,National!$L$9))))),0)</f>
        <v>333</v>
      </c>
      <c r="I69" s="25" t="n">
        <f aca="false">H69/SUMIFS(H:H,A:A,A69)</f>
        <v>0.033578703236866</v>
      </c>
      <c r="J69" s="29" t="n">
        <f aca="false">ROUND(I69*SUMIF(A:A,A69,D:D),0)</f>
        <v>318</v>
      </c>
      <c r="K69" s="24" t="n">
        <f aca="false">ROUND(AVERAGEIFS(J:J,A:A,A69,B:B,B69)/COUNTIFS(B:B,B69,A:A,A69),0)</f>
        <v>318</v>
      </c>
      <c r="L69" s="25" t="n">
        <f aca="false">K69/SUMIF(A:A,A69,K:K)</f>
        <v>0.0868615132477465</v>
      </c>
      <c r="M69" s="1" t="n">
        <f aca="false">ROUND(SUMIF(A:A,A69,J:J)*L69,0)</f>
        <v>822</v>
      </c>
      <c r="N69" s="1" t="str">
        <f aca="false">IF(O69=1,"Yes",IF(AND(O69&gt;1,SUMIFS(L:L,B:B,"&lt;&gt;Green",A:A,A69)+5%&gt;=SUMIFS(L:L,A:A,A69,B:B,"&lt;&gt;Green",O:O,1)),"No","Yes"))</f>
        <v>No</v>
      </c>
      <c r="O69" s="1" t="n">
        <f aca="false">COUNTIFS(A:A,A69,P:P,"&gt;"&amp;P69)+1</f>
        <v>5</v>
      </c>
      <c r="P69" s="25" t="n">
        <f aca="false">SUMIFS(L:L,A:A,A69,B:B,B69)</f>
        <v>0.0868615132477465</v>
      </c>
    </row>
    <row r="70" customFormat="false" ht="13.8" hidden="false" customHeight="false" outlineLevel="0" collapsed="false">
      <c r="A70" s="1" t="s">
        <v>301</v>
      </c>
      <c r="B70" s="27" t="s">
        <v>244</v>
      </c>
      <c r="C70" s="1" t="s">
        <v>310</v>
      </c>
      <c r="D70" s="1" t="n">
        <v>94</v>
      </c>
      <c r="E70" s="25" t="n">
        <v>0.028</v>
      </c>
      <c r="F70" s="1" t="n">
        <v>3349</v>
      </c>
      <c r="G70" s="1" t="n">
        <v>10049</v>
      </c>
      <c r="H70" s="28" t="n">
        <f aca="false">ROUND(D70*IF(ISNUMBER(SEARCH("Labour",B70)),National!$L$4,IF(ISNUMBER(SEARCH("Conservative",B70)),National!$L$5,IF(OR(ISNUMBER(SEARCH("Reform",B70)),ISNUMBER(SEARCH("RefUK",B70))),National!$L$6,IF(ISNUMBER(SEARCH("Green",B70)),National!$L$7,IF(OR(ISNUMBER(SEARCH("Liberal Democrat",B70)),ISNUMBER(SEARCH("Lib Dem",B70))),National!$L$8,National!$L$9))))),0)</f>
        <v>392</v>
      </c>
      <c r="I70" s="25" t="n">
        <f aca="false">H70/SUMIFS(H:H,A:A,A70)</f>
        <v>0.0395280830896441</v>
      </c>
      <c r="J70" s="29" t="n">
        <f aca="false">ROUND(I70*SUMIF(A:A,A70,D:D),0)</f>
        <v>374</v>
      </c>
      <c r="K70" s="24" t="n">
        <f aca="false">ROUND(AVERAGEIFS(J:J,A:A,A70,B:B,B70)/COUNTIFS(B:B,B70,A:A,A70),0)</f>
        <v>374</v>
      </c>
      <c r="L70" s="25" t="n">
        <f aca="false">K70/SUMIF(A:A,A70,K:K)</f>
        <v>0.102157880360557</v>
      </c>
      <c r="M70" s="1" t="n">
        <f aca="false">ROUND(SUMIF(A:A,A70,J:J)*L70,0)</f>
        <v>967</v>
      </c>
      <c r="N70" s="1" t="str">
        <f aca="false">IF(O70=1,"Yes",IF(AND(O70&gt;1,SUMIFS(L:L,B:B,"&lt;&gt;Green",A:A,A70)+5%&gt;=SUMIFS(L:L,A:A,A70,B:B,"&lt;&gt;Green",O:O,1)),"No","Yes"))</f>
        <v>No</v>
      </c>
      <c r="O70" s="1" t="n">
        <f aca="false">COUNTIFS(A:A,A70,P:P,"&gt;"&amp;P70)+1</f>
        <v>4</v>
      </c>
      <c r="P70" s="25" t="n">
        <f aca="false">SUMIFS(L:L,A:A,A70,B:B,B70)</f>
        <v>0.102157880360557</v>
      </c>
    </row>
    <row r="71" customFormat="false" ht="13.8" hidden="false" customHeight="false" outlineLevel="0" collapsed="false">
      <c r="A71" s="1" t="s">
        <v>301</v>
      </c>
      <c r="B71" s="27" t="s">
        <v>19</v>
      </c>
      <c r="C71" s="1" t="s">
        <v>311</v>
      </c>
      <c r="D71" s="1" t="n">
        <v>51</v>
      </c>
      <c r="E71" s="25" t="n">
        <v>0.015</v>
      </c>
      <c r="F71" s="1" t="n">
        <v>3349</v>
      </c>
      <c r="G71" s="1" t="n">
        <v>10049</v>
      </c>
      <c r="H71" s="28" t="n">
        <f aca="false">ROUND(D71*IF(ISNUMBER(SEARCH("Labour",B71)),National!$L$4,IF(ISNUMBER(SEARCH("Conservative",B71)),National!$L$5,IF(OR(ISNUMBER(SEARCH("Reform",B71)),ISNUMBER(SEARCH("RefUK",B71))),National!$L$6,IF(ISNUMBER(SEARCH("Green",B71)),National!$L$7,IF(OR(ISNUMBER(SEARCH("Liberal Democrat",B71)),ISNUMBER(SEARCH("Lib Dem",B71))),National!$L$8,National!$L$9))))),0)</f>
        <v>71</v>
      </c>
      <c r="I71" s="25" t="n">
        <f aca="false">H71/SUMIFS(H:H,A:A,A71)</f>
        <v>0.00715942321266512</v>
      </c>
      <c r="J71" s="29" t="n">
        <f aca="false">ROUND(I71*SUMIF(A:A,A71,D:D),0)</f>
        <v>68</v>
      </c>
      <c r="K71" s="24" t="n">
        <f aca="false">ROUND(AVERAGEIFS(J:J,A:A,A71,B:B,B71)/COUNTIFS(B:B,B71,A:A,A71),0)</f>
        <v>68</v>
      </c>
      <c r="L71" s="25" t="n">
        <f aca="false">K71/SUMIF(A:A,A71,K:K)</f>
        <v>0.0185741600655559</v>
      </c>
      <c r="M71" s="1" t="n">
        <f aca="false">ROUND(SUMIF(A:A,A71,J:J)*L71,0)</f>
        <v>176</v>
      </c>
      <c r="N71" s="1" t="str">
        <f aca="false">IF(O71=1,"Yes",IF(AND(O71&gt;1,SUMIFS(L:L,B:B,"&lt;&gt;Green",A:A,A71)+5%&gt;=SUMIFS(L:L,A:A,A71,B:B,"&lt;&gt;Green",O:O,1)),"No","Yes"))</f>
        <v>No</v>
      </c>
      <c r="O71" s="1" t="n">
        <f aca="false">COUNTIFS(A:A,A71,P:P,"&gt;"&amp;P71)+1</f>
        <v>12</v>
      </c>
      <c r="P71" s="25" t="n">
        <f aca="false">SUMIFS(L:L,A:A,A71,B:B,B71)</f>
        <v>0.0185741600655559</v>
      </c>
    </row>
    <row r="72" customFormat="false" ht="13.8" hidden="false" customHeight="false" outlineLevel="0" collapsed="false">
      <c r="A72" s="1" t="s">
        <v>312</v>
      </c>
      <c r="B72" s="27" t="s">
        <v>241</v>
      </c>
      <c r="C72" s="1" t="s">
        <v>313</v>
      </c>
      <c r="D72" s="1" t="n">
        <v>1752</v>
      </c>
      <c r="E72" s="25" t="n">
        <v>0.523</v>
      </c>
      <c r="F72" s="1" t="n">
        <v>2994</v>
      </c>
      <c r="G72" s="1" t="n">
        <v>10857</v>
      </c>
      <c r="H72" s="28" t="n">
        <f aca="false">ROUND(D72*IF(ISNUMBER(SEARCH("Labour",B72)),National!$L$4,IF(ISNUMBER(SEARCH("Conservative",B72)),National!$L$5,IF(OR(ISNUMBER(SEARCH("Reform",B72)),ISNUMBER(SEARCH("RefUK",B72))),National!$L$6,IF(ISNUMBER(SEARCH("Green",B72)),National!$L$7,IF(OR(ISNUMBER(SEARCH("Liberal Democrat",B72)),ISNUMBER(SEARCH("Lib Dem",B72))),National!$L$8,National!$L$9))))),0)</f>
        <v>1146</v>
      </c>
      <c r="I72" s="25" t="n">
        <f aca="false">H72/SUMIFS(H:H,A:A,A72)</f>
        <v>0.207872301832033</v>
      </c>
      <c r="J72" s="29" t="n">
        <f aca="false">ROUND(I72*SUMIF(A:A,A72,D:D),0)</f>
        <v>1709</v>
      </c>
      <c r="K72" s="24" t="n">
        <f aca="false">ROUND(AVERAGEIFS(J:J,A:A,A72,B:B,B72)/COUNTIFS(B:B,B72,A:A,A72),0)</f>
        <v>552</v>
      </c>
      <c r="L72" s="25" t="n">
        <f aca="false">K72/SUMIF(A:A,A72,K:K)</f>
        <v>0.14085225822914</v>
      </c>
      <c r="M72" s="1" t="n">
        <f aca="false">ROUND(SUMIF(A:A,A72,J:J)*L72,0)</f>
        <v>1158</v>
      </c>
      <c r="N72" s="1" t="str">
        <f aca="false">IF(O72=1,"Yes",IF(AND(O72&gt;1,SUMIFS(L:L,B:B,"&lt;&gt;Green",A:A,A72)+5%&gt;=SUMIFS(L:L,A:A,A72,B:B,"&lt;&gt;Green",O:O,1)),"No","Yes"))</f>
        <v>Yes</v>
      </c>
      <c r="O72" s="1" t="n">
        <f aca="false">COUNTIFS(A:A,A72,P:P,"&gt;"&amp;P72)+1</f>
        <v>1</v>
      </c>
      <c r="P72" s="25" t="n">
        <f aca="false">SUMIFS(L:L,A:A,A72,B:B,B72)</f>
        <v>0.42255677468742</v>
      </c>
    </row>
    <row r="73" customFormat="false" ht="13.8" hidden="false" customHeight="false" outlineLevel="0" collapsed="false">
      <c r="A73" s="1" t="s">
        <v>312</v>
      </c>
      <c r="B73" s="27" t="s">
        <v>241</v>
      </c>
      <c r="C73" s="1" t="s">
        <v>314</v>
      </c>
      <c r="D73" s="1" t="n">
        <v>1728</v>
      </c>
      <c r="E73" s="25" t="n">
        <v>0.516</v>
      </c>
      <c r="F73" s="1" t="n">
        <v>2994</v>
      </c>
      <c r="G73" s="1" t="n">
        <v>10857</v>
      </c>
      <c r="H73" s="28" t="n">
        <f aca="false">ROUND(D73*IF(ISNUMBER(SEARCH("Labour",B73)),National!$L$4,IF(ISNUMBER(SEARCH("Conservative",B73)),National!$L$5,IF(OR(ISNUMBER(SEARCH("Reform",B73)),ISNUMBER(SEARCH("RefUK",B73))),National!$L$6,IF(ISNUMBER(SEARCH("Green",B73)),National!$L$7,IF(OR(ISNUMBER(SEARCH("Liberal Democrat",B73)),ISNUMBER(SEARCH("Lib Dem",B73))),National!$L$8,National!$L$9))))),0)</f>
        <v>1130</v>
      </c>
      <c r="I73" s="25" t="n">
        <f aca="false">H73/SUMIFS(H:H,A:A,A73)</f>
        <v>0.204970070741883</v>
      </c>
      <c r="J73" s="29" t="n">
        <f aca="false">ROUND(I73*SUMIF(A:A,A73,D:D),0)</f>
        <v>1685</v>
      </c>
      <c r="K73" s="24" t="n">
        <f aca="false">ROUND(AVERAGEIFS(J:J,A:A,A73,B:B,B73)/COUNTIFS(B:B,B73,A:A,A73),0)</f>
        <v>552</v>
      </c>
      <c r="L73" s="25" t="n">
        <f aca="false">K73/SUMIF(A:A,A73,K:K)</f>
        <v>0.14085225822914</v>
      </c>
      <c r="M73" s="1" t="n">
        <f aca="false">ROUND(SUMIF(A:A,A73,J:J)*L73,0)</f>
        <v>1158</v>
      </c>
      <c r="N73" s="1" t="str">
        <f aca="false">IF(O73=1,"Yes",IF(AND(O73&gt;1,SUMIFS(L:L,B:B,"&lt;&gt;Green",A:A,A73)+5%&gt;=SUMIFS(L:L,A:A,A73,B:B,"&lt;&gt;Green",O:O,1)),"No","Yes"))</f>
        <v>Yes</v>
      </c>
      <c r="O73" s="1" t="n">
        <f aca="false">COUNTIFS(A:A,A73,P:P,"&gt;"&amp;P73)+1</f>
        <v>1</v>
      </c>
      <c r="P73" s="25" t="n">
        <f aca="false">SUMIFS(L:L,A:A,A73,B:B,B73)</f>
        <v>0.42255677468742</v>
      </c>
    </row>
    <row r="74" customFormat="false" ht="13.8" hidden="false" customHeight="false" outlineLevel="0" collapsed="false">
      <c r="A74" s="1" t="s">
        <v>312</v>
      </c>
      <c r="B74" s="27" t="s">
        <v>241</v>
      </c>
      <c r="C74" s="1" t="s">
        <v>315</v>
      </c>
      <c r="D74" s="1" t="n">
        <v>1618</v>
      </c>
      <c r="E74" s="25" t="n">
        <v>0.483</v>
      </c>
      <c r="F74" s="1" t="n">
        <v>2994</v>
      </c>
      <c r="G74" s="1" t="n">
        <v>10857</v>
      </c>
      <c r="H74" s="28" t="n">
        <f aca="false">ROUND(D74*IF(ISNUMBER(SEARCH("Labour",B74)),National!$L$4,IF(ISNUMBER(SEARCH("Conservative",B74)),National!$L$5,IF(OR(ISNUMBER(SEARCH("Reform",B74)),ISNUMBER(SEARCH("RefUK",B74))),National!$L$6,IF(ISNUMBER(SEARCH("Green",B74)),National!$L$7,IF(OR(ISNUMBER(SEARCH("Liberal Democrat",B74)),ISNUMBER(SEARCH("Lib Dem",B74))),National!$L$8,National!$L$9))))),0)</f>
        <v>1058</v>
      </c>
      <c r="I74" s="25" t="n">
        <f aca="false">H74/SUMIFS(H:H,A:A,A74)</f>
        <v>0.191910030836205</v>
      </c>
      <c r="J74" s="29" t="n">
        <f aca="false">ROUND(I74*SUMIF(A:A,A74,D:D),0)</f>
        <v>1578</v>
      </c>
      <c r="K74" s="24" t="n">
        <f aca="false">ROUND(AVERAGEIFS(J:J,A:A,A74,B:B,B74)/COUNTIFS(B:B,B74,A:A,A74),0)</f>
        <v>552</v>
      </c>
      <c r="L74" s="25" t="n">
        <f aca="false">K74/SUMIF(A:A,A74,K:K)</f>
        <v>0.14085225822914</v>
      </c>
      <c r="M74" s="1" t="n">
        <f aca="false">ROUND(SUMIF(A:A,A74,J:J)*L74,0)</f>
        <v>1158</v>
      </c>
      <c r="N74" s="1" t="str">
        <f aca="false">IF(O74=1,"Yes",IF(AND(O74&gt;1,SUMIFS(L:L,B:B,"&lt;&gt;Green",A:A,A74)+5%&gt;=SUMIFS(L:L,A:A,A74,B:B,"&lt;&gt;Green",O:O,1)),"No","Yes"))</f>
        <v>Yes</v>
      </c>
      <c r="O74" s="1" t="n">
        <f aca="false">COUNTIFS(A:A,A74,P:P,"&gt;"&amp;P74)+1</f>
        <v>1</v>
      </c>
      <c r="P74" s="25" t="n">
        <f aca="false">SUMIFS(L:L,A:A,A74,B:B,B74)</f>
        <v>0.42255677468742</v>
      </c>
    </row>
    <row r="75" customFormat="false" ht="13.8" hidden="false" customHeight="false" outlineLevel="0" collapsed="false">
      <c r="A75" s="1" t="s">
        <v>312</v>
      </c>
      <c r="B75" s="27" t="s">
        <v>216</v>
      </c>
      <c r="C75" s="1" t="s">
        <v>316</v>
      </c>
      <c r="D75" s="1" t="n">
        <v>917</v>
      </c>
      <c r="E75" s="25" t="n">
        <v>0.274</v>
      </c>
      <c r="F75" s="1" t="n">
        <v>2994</v>
      </c>
      <c r="G75" s="1" t="n">
        <v>10857</v>
      </c>
      <c r="H75" s="28" t="n">
        <f aca="false">ROUND(D75*IF(ISNUMBER(SEARCH("Labour",B75)),National!$L$4,IF(ISNUMBER(SEARCH("Conservative",B75)),National!$L$5,IF(OR(ISNUMBER(SEARCH("Reform",B75)),ISNUMBER(SEARCH("RefUK",B75))),National!$L$6,IF(ISNUMBER(SEARCH("Green",B75)),National!$L$7,IF(OR(ISNUMBER(SEARCH("Liberal Democrat",B75)),ISNUMBER(SEARCH("Lib Dem",B75))),National!$L$8,National!$L$9))))),0)</f>
        <v>363</v>
      </c>
      <c r="I75" s="25" t="n">
        <f aca="false">H75/SUMIFS(H:H,A:A,A75)</f>
        <v>0.0658443678577907</v>
      </c>
      <c r="J75" s="29" t="n">
        <f aca="false">ROUND(I75*SUMIF(A:A,A75,D:D),0)</f>
        <v>541</v>
      </c>
      <c r="K75" s="24" t="n">
        <f aca="false">ROUND(AVERAGEIFS(J:J,A:A,A75,B:B,B75)/COUNTIFS(B:B,B75,A:A,A75),0)</f>
        <v>165</v>
      </c>
      <c r="L75" s="25" t="n">
        <f aca="false">K75/SUMIF(A:A,A75,K:K)</f>
        <v>0.0421025771880582</v>
      </c>
      <c r="M75" s="1" t="n">
        <f aca="false">ROUND(SUMIF(A:A,A75,J:J)*L75,0)</f>
        <v>346</v>
      </c>
      <c r="N75" s="1" t="str">
        <f aca="false">IF(O75=1,"Yes",IF(AND(O75&gt;1,SUMIFS(L:L,B:B,"&lt;&gt;Green",A:A,A75)+5%&gt;=SUMIFS(L:L,A:A,A75,B:B,"&lt;&gt;Green",O:O,1)),"No","Yes"))</f>
        <v>No</v>
      </c>
      <c r="O75" s="1" t="n">
        <f aca="false">COUNTIFS(A:A,A75,P:P,"&gt;"&amp;P75)+1</f>
        <v>6</v>
      </c>
      <c r="P75" s="25" t="n">
        <f aca="false">SUMIFS(L:L,A:A,A75,B:B,B75)</f>
        <v>0.126307731564175</v>
      </c>
    </row>
    <row r="76" customFormat="false" ht="13.8" hidden="false" customHeight="false" outlineLevel="0" collapsed="false">
      <c r="A76" s="1" t="s">
        <v>312</v>
      </c>
      <c r="B76" s="27" t="s">
        <v>216</v>
      </c>
      <c r="C76" s="1" t="s">
        <v>317</v>
      </c>
      <c r="D76" s="1" t="n">
        <v>817</v>
      </c>
      <c r="E76" s="25" t="n">
        <v>0.244</v>
      </c>
      <c r="F76" s="1" t="n">
        <v>2994</v>
      </c>
      <c r="G76" s="1" t="n">
        <v>10857</v>
      </c>
      <c r="H76" s="28" t="n">
        <f aca="false">ROUND(D76*IF(ISNUMBER(SEARCH("Labour",B76)),National!$L$4,IF(ISNUMBER(SEARCH("Conservative",B76)),National!$L$5,IF(OR(ISNUMBER(SEARCH("Reform",B76)),ISNUMBER(SEARCH("RefUK",B76))),National!$L$6,IF(ISNUMBER(SEARCH("Green",B76)),National!$L$7,IF(OR(ISNUMBER(SEARCH("Liberal Democrat",B76)),ISNUMBER(SEARCH("Lib Dem",B76))),National!$L$8,National!$L$9))))),0)</f>
        <v>323</v>
      </c>
      <c r="I76" s="25" t="n">
        <f aca="false">H76/SUMIFS(H:H,A:A,A76)</f>
        <v>0.0585887901324143</v>
      </c>
      <c r="J76" s="29" t="n">
        <f aca="false">ROUND(I76*SUMIF(A:A,A76,D:D),0)</f>
        <v>482</v>
      </c>
      <c r="K76" s="24" t="n">
        <f aca="false">ROUND(AVERAGEIFS(J:J,A:A,A76,B:B,B76)/COUNTIFS(B:B,B76,A:A,A76),0)</f>
        <v>165</v>
      </c>
      <c r="L76" s="25" t="n">
        <f aca="false">K76/SUMIF(A:A,A76,K:K)</f>
        <v>0.0421025771880582</v>
      </c>
      <c r="M76" s="1" t="n">
        <f aca="false">ROUND(SUMIF(A:A,A76,J:J)*L76,0)</f>
        <v>346</v>
      </c>
      <c r="N76" s="1" t="str">
        <f aca="false">IF(O76=1,"Yes",IF(AND(O76&gt;1,SUMIFS(L:L,B:B,"&lt;&gt;Green",A:A,A76)+5%&gt;=SUMIFS(L:L,A:A,A76,B:B,"&lt;&gt;Green",O:O,1)),"No","Yes"))</f>
        <v>No</v>
      </c>
      <c r="O76" s="1" t="n">
        <f aca="false">COUNTIFS(A:A,A76,P:P,"&gt;"&amp;P76)+1</f>
        <v>6</v>
      </c>
      <c r="P76" s="25" t="n">
        <f aca="false">SUMIFS(L:L,A:A,A76,B:B,B76)</f>
        <v>0.126307731564175</v>
      </c>
    </row>
    <row r="77" customFormat="false" ht="13.8" hidden="false" customHeight="false" outlineLevel="0" collapsed="false">
      <c r="A77" s="1" t="s">
        <v>312</v>
      </c>
      <c r="B77" s="27" t="s">
        <v>216</v>
      </c>
      <c r="C77" s="1" t="s">
        <v>318</v>
      </c>
      <c r="D77" s="1" t="n">
        <v>777</v>
      </c>
      <c r="E77" s="25" t="n">
        <v>0.232</v>
      </c>
      <c r="F77" s="1" t="n">
        <v>2994</v>
      </c>
      <c r="G77" s="1" t="n">
        <v>10857</v>
      </c>
      <c r="H77" s="28" t="n">
        <f aca="false">ROUND(D77*IF(ISNUMBER(SEARCH("Labour",B77)),National!$L$4,IF(ISNUMBER(SEARCH("Conservative",B77)),National!$L$5,IF(OR(ISNUMBER(SEARCH("Reform",B77)),ISNUMBER(SEARCH("RefUK",B77))),National!$L$6,IF(ISNUMBER(SEARCH("Green",B77)),National!$L$7,IF(OR(ISNUMBER(SEARCH("Liberal Democrat",B77)),ISNUMBER(SEARCH("Lib Dem",B77))),National!$L$8,National!$L$9))))),0)</f>
        <v>307</v>
      </c>
      <c r="I77" s="25" t="n">
        <f aca="false">H77/SUMIFS(H:H,A:A,A77)</f>
        <v>0.0556865590422637</v>
      </c>
      <c r="J77" s="29" t="n">
        <f aca="false">ROUND(I77*SUMIF(A:A,A77,D:D),0)</f>
        <v>458</v>
      </c>
      <c r="K77" s="24" t="n">
        <f aca="false">ROUND(AVERAGEIFS(J:J,A:A,A77,B:B,B77)/COUNTIFS(B:B,B77,A:A,A77),0)</f>
        <v>165</v>
      </c>
      <c r="L77" s="25" t="n">
        <f aca="false">K77/SUMIF(A:A,A77,K:K)</f>
        <v>0.0421025771880582</v>
      </c>
      <c r="M77" s="1" t="n">
        <f aca="false">ROUND(SUMIF(A:A,A77,J:J)*L77,0)</f>
        <v>346</v>
      </c>
      <c r="N77" s="1" t="str">
        <f aca="false">IF(O77=1,"Yes",IF(AND(O77&gt;1,SUMIFS(L:L,B:B,"&lt;&gt;Green",A:A,A77)+5%&gt;=SUMIFS(L:L,A:A,A77,B:B,"&lt;&gt;Green",O:O,1)),"No","Yes"))</f>
        <v>No</v>
      </c>
      <c r="O77" s="1" t="n">
        <f aca="false">COUNTIFS(A:A,A77,P:P,"&gt;"&amp;P77)+1</f>
        <v>6</v>
      </c>
      <c r="P77" s="25" t="n">
        <f aca="false">SUMIFS(L:L,A:A,A77,B:B,B77)</f>
        <v>0.126307731564175</v>
      </c>
    </row>
    <row r="78" customFormat="false" ht="13.8" hidden="false" customHeight="false" outlineLevel="0" collapsed="false">
      <c r="A78" s="1" t="s">
        <v>312</v>
      </c>
      <c r="B78" s="30" t="s">
        <v>219</v>
      </c>
      <c r="C78" s="1" t="s">
        <v>319</v>
      </c>
      <c r="D78" s="1" t="n">
        <v>339</v>
      </c>
      <c r="E78" s="25" t="n">
        <v>0.101</v>
      </c>
      <c r="F78" s="1" t="n">
        <v>2994</v>
      </c>
      <c r="G78" s="1" t="n">
        <v>10857</v>
      </c>
      <c r="H78" s="28" t="n">
        <f aca="false">ROUND(D78*IF(ISNUMBER(SEARCH("Labour",B78)),National!$L$4,IF(ISNUMBER(SEARCH("Conservative",B78)),National!$L$5,IF(OR(ISNUMBER(SEARCH("Reform",B78)),ISNUMBER(SEARCH("RefUK",B78))),National!$L$6,IF(ISNUMBER(SEARCH("Green",B78)),National!$L$7,IF(OR(ISNUMBER(SEARCH("Liberal Democrat",B78)),ISNUMBER(SEARCH("Lib Dem",B78))),National!$L$8,National!$L$9))))),0)</f>
        <v>805</v>
      </c>
      <c r="I78" s="25" t="n">
        <f aca="false">H78/SUMIFS(H:H,A:A,A78)</f>
        <v>0.1460185017232</v>
      </c>
      <c r="J78" s="29" t="n">
        <f aca="false">ROUND(I78*SUMIF(A:A,A78,D:D),0)</f>
        <v>1200</v>
      </c>
      <c r="K78" s="24" t="n">
        <f aca="false">ROUND(AVERAGEIFS(J:J,A:A,A78,B:B,B78)/COUNTIFS(B:B,B78,A:A,A78),0)</f>
        <v>1200</v>
      </c>
      <c r="L78" s="25" t="n">
        <f aca="false">K78/SUMIF(A:A,A78,K:K)</f>
        <v>0.306200561367696</v>
      </c>
      <c r="M78" s="1" t="n">
        <f aca="false">ROUND(SUMIF(A:A,A78,J:J)*L78,0)</f>
        <v>2517</v>
      </c>
      <c r="N78" s="1" t="str">
        <f aca="false">IF(O78=1,"Yes",IF(AND(O78&gt;1,SUMIFS(L:L,B:B,"&lt;&gt;Green",A:A,A78)+5%&gt;=SUMIFS(L:L,A:A,A78,B:B,"&lt;&gt;Green",O:O,1)),"No","Yes"))</f>
        <v>No</v>
      </c>
      <c r="O78" s="1" t="n">
        <f aca="false">COUNTIFS(A:A,A78,P:P,"&gt;"&amp;P78)+1</f>
        <v>4</v>
      </c>
      <c r="P78" s="25" t="n">
        <f aca="false">SUMIFS(L:L,A:A,A78,B:B,B78)</f>
        <v>0.306200561367696</v>
      </c>
    </row>
    <row r="79" customFormat="false" ht="13.8" hidden="false" customHeight="false" outlineLevel="0" collapsed="false">
      <c r="A79" s="1" t="s">
        <v>312</v>
      </c>
      <c r="B79" s="27" t="s">
        <v>19</v>
      </c>
      <c r="C79" s="1" t="s">
        <v>320</v>
      </c>
      <c r="D79" s="1" t="n">
        <v>272</v>
      </c>
      <c r="E79" s="25" t="n">
        <v>0.081</v>
      </c>
      <c r="F79" s="1" t="n">
        <v>2994</v>
      </c>
      <c r="G79" s="1" t="n">
        <v>10857</v>
      </c>
      <c r="H79" s="28" t="n">
        <f aca="false">ROUND(D79*IF(ISNUMBER(SEARCH("Labour",B79)),National!$L$4,IF(ISNUMBER(SEARCH("Conservative",B79)),National!$L$5,IF(OR(ISNUMBER(SEARCH("Reform",B79)),ISNUMBER(SEARCH("RefUK",B79))),National!$L$6,IF(ISNUMBER(SEARCH("Green",B79)),National!$L$7,IF(OR(ISNUMBER(SEARCH("Liberal Democrat",B79)),ISNUMBER(SEARCH("Lib Dem",B79))),National!$L$8,National!$L$9))))),0)</f>
        <v>381</v>
      </c>
      <c r="I79" s="25" t="n">
        <f aca="false">H79/SUMIFS(H:H,A:A,A79)</f>
        <v>0.0691093778342101</v>
      </c>
      <c r="J79" s="29" t="n">
        <f aca="false">ROUND(I79*SUMIF(A:A,A79,D:D),0)</f>
        <v>568</v>
      </c>
      <c r="K79" s="24" t="n">
        <f aca="false">ROUND(AVERAGEIFS(J:J,A:A,A79,B:B,B79)/COUNTIFS(B:B,B79,A:A,A79),0)</f>
        <v>568</v>
      </c>
      <c r="L79" s="25" t="n">
        <f aca="false">K79/SUMIF(A:A,A79,K:K)</f>
        <v>0.144934932380709</v>
      </c>
      <c r="M79" s="1" t="n">
        <f aca="false">ROUND(SUMIF(A:A,A79,J:J)*L79,0)</f>
        <v>1192</v>
      </c>
      <c r="N79" s="1" t="str">
        <f aca="false">IF(O79=1,"Yes",IF(AND(O79&gt;1,SUMIFS(L:L,B:B,"&lt;&gt;Green",A:A,A79)+5%&gt;=SUMIFS(L:L,A:A,A79,B:B,"&lt;&gt;Green",O:O,1)),"No","Yes"))</f>
        <v>No</v>
      </c>
      <c r="O79" s="1" t="n">
        <f aca="false">COUNTIFS(A:A,A79,P:P,"&gt;"&amp;P79)+1</f>
        <v>5</v>
      </c>
      <c r="P79" s="25" t="n">
        <f aca="false">SUMIFS(L:L,A:A,A79,B:B,B79)</f>
        <v>0.144934932380709</v>
      </c>
    </row>
    <row r="80" customFormat="false" ht="13.8" hidden="false" customHeight="false" outlineLevel="0" collapsed="false">
      <c r="A80" s="1" t="s">
        <v>321</v>
      </c>
      <c r="B80" s="27" t="s">
        <v>249</v>
      </c>
      <c r="C80" s="1" t="s">
        <v>322</v>
      </c>
      <c r="D80" s="1" t="n">
        <v>796</v>
      </c>
      <c r="E80" s="25" t="n">
        <v>0.518</v>
      </c>
      <c r="F80" s="1" t="n">
        <v>1536</v>
      </c>
      <c r="G80" s="1" t="n">
        <v>6871</v>
      </c>
      <c r="H80" s="28" t="n">
        <f aca="false">ROUND(D80*IF(ISNUMBER(SEARCH("Labour",B80)),National!$L$4,IF(ISNUMBER(SEARCH("Conservative",B80)),National!$L$5,IF(OR(ISNUMBER(SEARCH("Reform",B80)),ISNUMBER(SEARCH("RefUK",B80))),National!$L$6,IF(ISNUMBER(SEARCH("Green",B80)),National!$L$7,IF(OR(ISNUMBER(SEARCH("Liberal Democrat",B80)),ISNUMBER(SEARCH("Lib Dem",B80))),National!$L$8,National!$L$9))))),0)</f>
        <v>315</v>
      </c>
      <c r="I80" s="25" t="n">
        <f aca="false">H80/SUMIFS(H:H,A:A,A80)</f>
        <v>0.165615141955836</v>
      </c>
      <c r="J80" s="29" t="n">
        <f aca="false">ROUND(I80*SUMIF(A:A,A80,D:D),0)</f>
        <v>482</v>
      </c>
      <c r="K80" s="24" t="n">
        <f aca="false">ROUND(AVERAGEIFS(J:J,A:A,A80,B:B,B80)/COUNTIFS(B:B,B80,A:A,A80),0)</f>
        <v>234</v>
      </c>
      <c r="L80" s="25" t="n">
        <f aca="false">K80/SUMIF(A:A,A80,K:K)</f>
        <v>0.122193211488251</v>
      </c>
      <c r="M80" s="1" t="n">
        <f aca="false">ROUND(SUMIF(A:A,A80,J:J)*L80,0)</f>
        <v>355</v>
      </c>
      <c r="N80" s="1" t="str">
        <f aca="false">IF(O80=1,"Yes",IF(AND(O80&gt;1,SUMIFS(L:L,B:B,"&lt;&gt;Green",A:A,A80)+5%&gt;=SUMIFS(L:L,A:A,A80,B:B,"&lt;&gt;Green",O:O,1)),"No","Yes"))</f>
        <v>No</v>
      </c>
      <c r="O80" s="1" t="n">
        <f aca="false">COUNTIFS(A:A,A80,P:P,"&gt;"&amp;P80)+1</f>
        <v>4</v>
      </c>
      <c r="P80" s="25" t="n">
        <f aca="false">SUMIFS(L:L,A:A,A80,B:B,B80)</f>
        <v>0.244386422976501</v>
      </c>
    </row>
    <row r="81" customFormat="false" ht="13.8" hidden="false" customHeight="false" outlineLevel="0" collapsed="false">
      <c r="A81" s="1" t="s">
        <v>321</v>
      </c>
      <c r="B81" s="27" t="s">
        <v>249</v>
      </c>
      <c r="C81" s="1" t="s">
        <v>323</v>
      </c>
      <c r="D81" s="1" t="n">
        <v>751</v>
      </c>
      <c r="E81" s="25" t="n">
        <v>0.489</v>
      </c>
      <c r="F81" s="1" t="n">
        <v>1536</v>
      </c>
      <c r="G81" s="1" t="n">
        <v>6871</v>
      </c>
      <c r="H81" s="28" t="n">
        <f aca="false">ROUND(D81*IF(ISNUMBER(SEARCH("Labour",B81)),National!$L$4,IF(ISNUMBER(SEARCH("Conservative",B81)),National!$L$5,IF(OR(ISNUMBER(SEARCH("Reform",B81)),ISNUMBER(SEARCH("RefUK",B81))),National!$L$6,IF(ISNUMBER(SEARCH("Green",B81)),National!$L$7,IF(OR(ISNUMBER(SEARCH("Liberal Democrat",B81)),ISNUMBER(SEARCH("Lib Dem",B81))),National!$L$8,National!$L$9))))),0)</f>
        <v>297</v>
      </c>
      <c r="I81" s="25" t="n">
        <f aca="false">H81/SUMIFS(H:H,A:A,A81)</f>
        <v>0.15615141955836</v>
      </c>
      <c r="J81" s="29" t="n">
        <f aca="false">ROUND(I81*SUMIF(A:A,A81,D:D),0)</f>
        <v>454</v>
      </c>
      <c r="K81" s="24" t="n">
        <f aca="false">ROUND(AVERAGEIFS(J:J,A:A,A81,B:B,B81)/COUNTIFS(B:B,B81,A:A,A81),0)</f>
        <v>234</v>
      </c>
      <c r="L81" s="25" t="n">
        <f aca="false">K81/SUMIF(A:A,A81,K:K)</f>
        <v>0.122193211488251</v>
      </c>
      <c r="M81" s="1" t="n">
        <f aca="false">ROUND(SUMIF(A:A,A81,J:J)*L81,0)</f>
        <v>355</v>
      </c>
      <c r="N81" s="1" t="str">
        <f aca="false">IF(O81=1,"Yes",IF(AND(O81&gt;1,SUMIFS(L:L,B:B,"&lt;&gt;Green",A:A,A81)+5%&gt;=SUMIFS(L:L,A:A,A81,B:B,"&lt;&gt;Green",O:O,1)),"No","Yes"))</f>
        <v>No</v>
      </c>
      <c r="O81" s="1" t="n">
        <f aca="false">COUNTIFS(A:A,A81,P:P,"&gt;"&amp;P81)+1</f>
        <v>4</v>
      </c>
      <c r="P81" s="25" t="n">
        <f aca="false">SUMIFS(L:L,A:A,A81,B:B,B81)</f>
        <v>0.244386422976501</v>
      </c>
    </row>
    <row r="82" customFormat="false" ht="13.8" hidden="false" customHeight="false" outlineLevel="0" collapsed="false">
      <c r="A82" s="1" t="s">
        <v>321</v>
      </c>
      <c r="B82" s="27" t="s">
        <v>241</v>
      </c>
      <c r="C82" s="1" t="s">
        <v>324</v>
      </c>
      <c r="D82" s="1" t="n">
        <v>541</v>
      </c>
      <c r="E82" s="25" t="n">
        <v>0.352</v>
      </c>
      <c r="F82" s="1" t="n">
        <v>1536</v>
      </c>
      <c r="G82" s="1" t="n">
        <v>6871</v>
      </c>
      <c r="H82" s="28" t="n">
        <f aca="false">ROUND(D82*IF(ISNUMBER(SEARCH("Labour",B82)),National!$L$4,IF(ISNUMBER(SEARCH("Conservative",B82)),National!$L$5,IF(OR(ISNUMBER(SEARCH("Reform",B82)),ISNUMBER(SEARCH("RefUK",B82))),National!$L$6,IF(ISNUMBER(SEARCH("Green",B82)),National!$L$7,IF(OR(ISNUMBER(SEARCH("Liberal Democrat",B82)),ISNUMBER(SEARCH("Lib Dem",B82))),National!$L$8,National!$L$9))))),0)</f>
        <v>354</v>
      </c>
      <c r="I82" s="25" t="n">
        <f aca="false">H82/SUMIFS(H:H,A:A,A82)</f>
        <v>0.186119873817035</v>
      </c>
      <c r="J82" s="29" t="n">
        <f aca="false">ROUND(I82*SUMIF(A:A,A82,D:D),0)</f>
        <v>541</v>
      </c>
      <c r="K82" s="24" t="n">
        <f aca="false">ROUND(AVERAGEIFS(J:J,A:A,A82,B:B,B82)/COUNTIFS(B:B,B82,A:A,A82),0)</f>
        <v>263</v>
      </c>
      <c r="L82" s="25" t="n">
        <f aca="false">K82/SUMIF(A:A,A82,K:K)</f>
        <v>0.13733681462141</v>
      </c>
      <c r="M82" s="1" t="n">
        <f aca="false">ROUND(SUMIF(A:A,A82,J:J)*L82,0)</f>
        <v>399</v>
      </c>
      <c r="N82" s="1" t="str">
        <f aca="false">IF(O82=1,"Yes",IF(AND(O82&gt;1,SUMIFS(L:L,B:B,"&lt;&gt;Green",A:A,A82)+5%&gt;=SUMIFS(L:L,A:A,A82,B:B,"&lt;&gt;Green",O:O,1)),"No","Yes"))</f>
        <v>No</v>
      </c>
      <c r="O82" s="1" t="n">
        <f aca="false">COUNTIFS(A:A,A82,P:P,"&gt;"&amp;P82)+1</f>
        <v>2</v>
      </c>
      <c r="P82" s="25" t="n">
        <f aca="false">SUMIFS(L:L,A:A,A82,B:B,B82)</f>
        <v>0.27467362924282</v>
      </c>
    </row>
    <row r="83" customFormat="false" ht="13.8" hidden="false" customHeight="false" outlineLevel="0" collapsed="false">
      <c r="A83" s="1" t="s">
        <v>321</v>
      </c>
      <c r="B83" s="27" t="s">
        <v>241</v>
      </c>
      <c r="C83" s="1" t="s">
        <v>325</v>
      </c>
      <c r="D83" s="1" t="n">
        <v>510</v>
      </c>
      <c r="E83" s="25" t="n">
        <v>0.332</v>
      </c>
      <c r="F83" s="1" t="n">
        <v>1536</v>
      </c>
      <c r="G83" s="1" t="n">
        <v>6871</v>
      </c>
      <c r="H83" s="28" t="n">
        <f aca="false">ROUND(D83*IF(ISNUMBER(SEARCH("Labour",B83)),National!$L$4,IF(ISNUMBER(SEARCH("Conservative",B83)),National!$L$5,IF(OR(ISNUMBER(SEARCH("Reform",B83)),ISNUMBER(SEARCH("RefUK",B83))),National!$L$6,IF(ISNUMBER(SEARCH("Green",B83)),National!$L$7,IF(OR(ISNUMBER(SEARCH("Liberal Democrat",B83)),ISNUMBER(SEARCH("Lib Dem",B83))),National!$L$8,National!$L$9))))),0)</f>
        <v>333</v>
      </c>
      <c r="I83" s="25" t="n">
        <f aca="false">H83/SUMIFS(H:H,A:A,A83)</f>
        <v>0.175078864353312</v>
      </c>
      <c r="J83" s="29" t="n">
        <f aca="false">ROUND(I83*SUMIF(A:A,A83,D:D),0)</f>
        <v>509</v>
      </c>
      <c r="K83" s="24" t="n">
        <f aca="false">ROUND(AVERAGEIFS(J:J,A:A,A83,B:B,B83)/COUNTIFS(B:B,B83,A:A,A83),0)</f>
        <v>263</v>
      </c>
      <c r="L83" s="25" t="n">
        <f aca="false">K83/SUMIF(A:A,A83,K:K)</f>
        <v>0.13733681462141</v>
      </c>
      <c r="M83" s="1" t="n">
        <f aca="false">ROUND(SUMIF(A:A,A83,J:J)*L83,0)</f>
        <v>399</v>
      </c>
      <c r="N83" s="1" t="str">
        <f aca="false">IF(O83=1,"Yes",IF(AND(O83&gt;1,SUMIFS(L:L,B:B,"&lt;&gt;Green",A:A,A83)+5%&gt;=SUMIFS(L:L,A:A,A83,B:B,"&lt;&gt;Green",O:O,1)),"No","Yes"))</f>
        <v>No</v>
      </c>
      <c r="O83" s="1" t="n">
        <f aca="false">COUNTIFS(A:A,A83,P:P,"&gt;"&amp;P83)+1</f>
        <v>2</v>
      </c>
      <c r="P83" s="25" t="n">
        <f aca="false">SUMIFS(L:L,A:A,A83,B:B,B83)</f>
        <v>0.27467362924282</v>
      </c>
    </row>
    <row r="84" customFormat="false" ht="13.8" hidden="false" customHeight="false" outlineLevel="0" collapsed="false">
      <c r="A84" s="1" t="s">
        <v>321</v>
      </c>
      <c r="B84" s="30" t="s">
        <v>219</v>
      </c>
      <c r="C84" s="1" t="s">
        <v>326</v>
      </c>
      <c r="D84" s="1" t="n">
        <v>174</v>
      </c>
      <c r="E84" s="25" t="n">
        <v>0.113</v>
      </c>
      <c r="F84" s="1" t="n">
        <v>1536</v>
      </c>
      <c r="G84" s="1" t="n">
        <v>6871</v>
      </c>
      <c r="H84" s="28" t="n">
        <f aca="false">ROUND(D84*IF(ISNUMBER(SEARCH("Labour",B84)),National!$L$4,IF(ISNUMBER(SEARCH("Conservative",B84)),National!$L$5,IF(OR(ISNUMBER(SEARCH("Reform",B84)),ISNUMBER(SEARCH("RefUK",B84))),National!$L$6,IF(ISNUMBER(SEARCH("Green",B84)),National!$L$7,IF(OR(ISNUMBER(SEARCH("Liberal Democrat",B84)),ISNUMBER(SEARCH("Lib Dem",B84))),National!$L$8,National!$L$9))))),0)</f>
        <v>413</v>
      </c>
      <c r="I84" s="25" t="n">
        <f aca="false">H84/SUMIFS(H:H,A:A,A84)</f>
        <v>0.217139852786541</v>
      </c>
      <c r="J84" s="29" t="n">
        <f aca="false">ROUND(I84*SUMIF(A:A,A84,D:D),0)</f>
        <v>631</v>
      </c>
      <c r="K84" s="24" t="n">
        <f aca="false">ROUND(AVERAGEIFS(J:J,A:A,A84,B:B,B84)/COUNTIFS(B:B,B84,A:A,A84),0)</f>
        <v>631</v>
      </c>
      <c r="L84" s="25" t="n">
        <f aca="false">K84/SUMIF(A:A,A84,K:K)</f>
        <v>0.329503916449086</v>
      </c>
      <c r="M84" s="1" t="n">
        <f aca="false">ROUND(SUMIF(A:A,A84,J:J)*L84,0)</f>
        <v>958</v>
      </c>
      <c r="N84" s="1" t="str">
        <f aca="false">IF(O84=1,"Yes",IF(AND(O84&gt;1,SUMIFS(L:L,B:B,"&lt;&gt;Green",A:A,A84)+5%&gt;=SUMIFS(L:L,A:A,A84,B:B,"&lt;&gt;Green",O:O,1)),"No","Yes"))</f>
        <v>Yes</v>
      </c>
      <c r="O84" s="1" t="n">
        <f aca="false">COUNTIFS(A:A,A84,P:P,"&gt;"&amp;P84)+1</f>
        <v>1</v>
      </c>
      <c r="P84" s="25" t="n">
        <f aca="false">SUMIFS(L:L,A:A,A84,B:B,B84)</f>
        <v>0.329503916449086</v>
      </c>
    </row>
    <row r="85" customFormat="false" ht="13.8" hidden="false" customHeight="false" outlineLevel="0" collapsed="false">
      <c r="A85" s="1" t="s">
        <v>321</v>
      </c>
      <c r="B85" s="27" t="s">
        <v>19</v>
      </c>
      <c r="C85" s="1" t="s">
        <v>327</v>
      </c>
      <c r="D85" s="1" t="n">
        <v>136</v>
      </c>
      <c r="E85" s="25" t="n">
        <v>0.089</v>
      </c>
      <c r="F85" s="1" t="n">
        <v>1536</v>
      </c>
      <c r="G85" s="1" t="n">
        <v>6871</v>
      </c>
      <c r="H85" s="28" t="n">
        <f aca="false">ROUND(D85*IF(ISNUMBER(SEARCH("Labour",B85)),National!$L$4,IF(ISNUMBER(SEARCH("Conservative",B85)),National!$L$5,IF(OR(ISNUMBER(SEARCH("Reform",B85)),ISNUMBER(SEARCH("RefUK",B85))),National!$L$6,IF(ISNUMBER(SEARCH("Green",B85)),National!$L$7,IF(OR(ISNUMBER(SEARCH("Liberal Democrat",B85)),ISNUMBER(SEARCH("Lib Dem",B85))),National!$L$8,National!$L$9))))),0)</f>
        <v>190</v>
      </c>
      <c r="I85" s="25" t="n">
        <f aca="false">H85/SUMIFS(H:H,A:A,A85)</f>
        <v>0.0998948475289169</v>
      </c>
      <c r="J85" s="29" t="n">
        <f aca="false">ROUND(I85*SUMIF(A:A,A85,D:D),0)</f>
        <v>290</v>
      </c>
      <c r="K85" s="24" t="n">
        <f aca="false">ROUND(AVERAGEIFS(J:J,A:A,A85,B:B,B85)/COUNTIFS(B:B,B85,A:A,A85),0)</f>
        <v>290</v>
      </c>
      <c r="L85" s="25" t="n">
        <f aca="false">K85/SUMIF(A:A,A85,K:K)</f>
        <v>0.151436031331593</v>
      </c>
      <c r="M85" s="1" t="n">
        <f aca="false">ROUND(SUMIF(A:A,A85,J:J)*L85,0)</f>
        <v>440</v>
      </c>
      <c r="N85" s="1" t="str">
        <f aca="false">IF(O85=1,"Yes",IF(AND(O85&gt;1,SUMIFS(L:L,B:B,"&lt;&gt;Green",A:A,A85)+5%&gt;=SUMIFS(L:L,A:A,A85,B:B,"&lt;&gt;Green",O:O,1)),"No","Yes"))</f>
        <v>No</v>
      </c>
      <c r="O85" s="1" t="n">
        <f aca="false">COUNTIFS(A:A,A85,P:P,"&gt;"&amp;P85)+1</f>
        <v>6</v>
      </c>
      <c r="P85" s="25" t="n">
        <f aca="false">SUMIFS(L:L,A:A,A85,B:B,B85)</f>
        <v>0.151436031331593</v>
      </c>
    </row>
    <row r="86" customFormat="false" ht="13.8" hidden="false" customHeight="false" outlineLevel="0" collapsed="false">
      <c r="A86" s="1" t="s">
        <v>328</v>
      </c>
      <c r="B86" s="27" t="s">
        <v>241</v>
      </c>
      <c r="C86" s="1" t="s">
        <v>329</v>
      </c>
      <c r="D86" s="1" t="n">
        <v>938</v>
      </c>
      <c r="E86" s="25" t="n">
        <v>0.579</v>
      </c>
      <c r="F86" s="1" t="n">
        <v>1621</v>
      </c>
      <c r="G86" s="1" t="n">
        <v>6645</v>
      </c>
      <c r="H86" s="28" t="n">
        <f aca="false">ROUND(D86*IF(ISNUMBER(SEARCH("Labour",B86)),National!$L$4,IF(ISNUMBER(SEARCH("Conservative",B86)),National!$L$5,IF(OR(ISNUMBER(SEARCH("Reform",B86)),ISNUMBER(SEARCH("RefUK",B86))),National!$L$6,IF(ISNUMBER(SEARCH("Green",B86)),National!$L$7,IF(OR(ISNUMBER(SEARCH("Liberal Democrat",B86)),ISNUMBER(SEARCH("Lib Dem",B86))),National!$L$8,National!$L$9))))),0)</f>
        <v>613</v>
      </c>
      <c r="I86" s="25" t="n">
        <f aca="false">H86/SUMIFS(H:H,A:A,A86)</f>
        <v>0.289697542533081</v>
      </c>
      <c r="J86" s="29" t="n">
        <f aca="false">ROUND(I86*SUMIF(A:A,A86,D:D),0)</f>
        <v>885</v>
      </c>
      <c r="K86" s="24" t="n">
        <f aca="false">ROUND(AVERAGEIFS(J:J,A:A,A86,B:B,B86)/COUNTIFS(B:B,B86,A:A,A86),0)</f>
        <v>441</v>
      </c>
      <c r="L86" s="25" t="n">
        <f aca="false">K86/SUMIF(A:A,A86,K:K)</f>
        <v>0.230769230769231</v>
      </c>
      <c r="M86" s="1" t="n">
        <f aca="false">ROUND(SUMIF(A:A,A86,J:J)*L86,0)</f>
        <v>705</v>
      </c>
      <c r="N86" s="1" t="str">
        <f aca="false">IF(O86=1,"Yes",IF(AND(O86&gt;1,SUMIFS(L:L,B:B,"&lt;&gt;Green",A:A,A86)+5%&gt;=SUMIFS(L:L,A:A,A86,B:B,"&lt;&gt;Green",O:O,1)),"No","Yes"))</f>
        <v>Yes</v>
      </c>
      <c r="O86" s="1" t="n">
        <f aca="false">COUNTIFS(A:A,A86,P:P,"&gt;"&amp;P86)+1</f>
        <v>1</v>
      </c>
      <c r="P86" s="25" t="n">
        <f aca="false">SUMIFS(L:L,A:A,A86,B:B,B86)</f>
        <v>0.461538461538462</v>
      </c>
    </row>
    <row r="87" customFormat="false" ht="13.8" hidden="false" customHeight="false" outlineLevel="0" collapsed="false">
      <c r="A87" s="1" t="s">
        <v>328</v>
      </c>
      <c r="B87" s="27" t="s">
        <v>241</v>
      </c>
      <c r="C87" s="1" t="s">
        <v>330</v>
      </c>
      <c r="D87" s="1" t="n">
        <v>933</v>
      </c>
      <c r="E87" s="25" t="n">
        <v>0.576</v>
      </c>
      <c r="F87" s="1" t="n">
        <v>1621</v>
      </c>
      <c r="G87" s="1" t="n">
        <v>6645</v>
      </c>
      <c r="H87" s="28" t="n">
        <f aca="false">ROUND(D87*IF(ISNUMBER(SEARCH("Labour",B87)),National!$L$4,IF(ISNUMBER(SEARCH("Conservative",B87)),National!$L$5,IF(OR(ISNUMBER(SEARCH("Reform",B87)),ISNUMBER(SEARCH("RefUK",B87))),National!$L$6,IF(ISNUMBER(SEARCH("Green",B87)),National!$L$7,IF(OR(ISNUMBER(SEARCH("Liberal Democrat",B87)),ISNUMBER(SEARCH("Lib Dem",B87))),National!$L$8,National!$L$9))))),0)</f>
        <v>610</v>
      </c>
      <c r="I87" s="25" t="n">
        <f aca="false">H87/SUMIFS(H:H,A:A,A87)</f>
        <v>0.2882797731569</v>
      </c>
      <c r="J87" s="29" t="n">
        <f aca="false">ROUND(I87*SUMIF(A:A,A87,D:D),0)</f>
        <v>880</v>
      </c>
      <c r="K87" s="24" t="n">
        <f aca="false">ROUND(AVERAGEIFS(J:J,A:A,A87,B:B,B87)/COUNTIFS(B:B,B87,A:A,A87),0)</f>
        <v>441</v>
      </c>
      <c r="L87" s="25" t="n">
        <f aca="false">K87/SUMIF(A:A,A87,K:K)</f>
        <v>0.230769230769231</v>
      </c>
      <c r="M87" s="1" t="n">
        <f aca="false">ROUND(SUMIF(A:A,A87,J:J)*L87,0)</f>
        <v>705</v>
      </c>
      <c r="N87" s="1" t="str">
        <f aca="false">IF(O87=1,"Yes",IF(AND(O87&gt;1,SUMIFS(L:L,B:B,"&lt;&gt;Green",A:A,A87)+5%&gt;=SUMIFS(L:L,A:A,A87,B:B,"&lt;&gt;Green",O:O,1)),"No","Yes"))</f>
        <v>Yes</v>
      </c>
      <c r="O87" s="1" t="n">
        <f aca="false">COUNTIFS(A:A,A87,P:P,"&gt;"&amp;P87)+1</f>
        <v>1</v>
      </c>
      <c r="P87" s="25" t="n">
        <f aca="false">SUMIFS(L:L,A:A,A87,B:B,B87)</f>
        <v>0.461538461538462</v>
      </c>
    </row>
    <row r="88" customFormat="false" ht="13.8" hidden="false" customHeight="false" outlineLevel="0" collapsed="false">
      <c r="A88" s="1" t="s">
        <v>328</v>
      </c>
      <c r="B88" s="27" t="s">
        <v>216</v>
      </c>
      <c r="C88" s="1" t="s">
        <v>331</v>
      </c>
      <c r="D88" s="1" t="n">
        <v>486</v>
      </c>
      <c r="E88" s="25" t="n">
        <v>0.3</v>
      </c>
      <c r="F88" s="1" t="n">
        <v>1621</v>
      </c>
      <c r="G88" s="1" t="n">
        <v>6645</v>
      </c>
      <c r="H88" s="28" t="n">
        <f aca="false">ROUND(D88*IF(ISNUMBER(SEARCH("Labour",B88)),National!$L$4,IF(ISNUMBER(SEARCH("Conservative",B88)),National!$L$5,IF(OR(ISNUMBER(SEARCH("Reform",B88)),ISNUMBER(SEARCH("RefUK",B88))),National!$L$6,IF(ISNUMBER(SEARCH("Green",B88)),National!$L$7,IF(OR(ISNUMBER(SEARCH("Liberal Democrat",B88)),ISNUMBER(SEARCH("Lib Dem",B88))),National!$L$8,National!$L$9))))),0)</f>
        <v>192</v>
      </c>
      <c r="I88" s="25" t="n">
        <f aca="false">H88/SUMIFS(H:H,A:A,A88)</f>
        <v>0.0907372400756144</v>
      </c>
      <c r="J88" s="29" t="n">
        <f aca="false">ROUND(I88*SUMIF(A:A,A88,D:D),0)</f>
        <v>277</v>
      </c>
      <c r="K88" s="24" t="n">
        <f aca="false">ROUND(AVERAGEIFS(J:J,A:A,A88,B:B,B88)/COUNTIFS(B:B,B88,A:A,A88),0)</f>
        <v>130</v>
      </c>
      <c r="L88" s="25" t="n">
        <f aca="false">K88/SUMIF(A:A,A88,K:K)</f>
        <v>0.0680272108843538</v>
      </c>
      <c r="M88" s="1" t="n">
        <f aca="false">ROUND(SUMIF(A:A,A88,J:J)*L88,0)</f>
        <v>208</v>
      </c>
      <c r="N88" s="1" t="str">
        <f aca="false">IF(O88=1,"Yes",IF(AND(O88&gt;1,SUMIFS(L:L,B:B,"&lt;&gt;Green",A:A,A88)+5%&gt;=SUMIFS(L:L,A:A,A88,B:B,"&lt;&gt;Green",O:O,1)),"No","Yes"))</f>
        <v>No</v>
      </c>
      <c r="O88" s="1" t="n">
        <f aca="false">COUNTIFS(A:A,A88,P:P,"&gt;"&amp;P88)+1</f>
        <v>4</v>
      </c>
      <c r="P88" s="25" t="n">
        <f aca="false">SUMIFS(L:L,A:A,A88,B:B,B88)</f>
        <v>0.136054421768708</v>
      </c>
    </row>
    <row r="89" customFormat="false" ht="13.8" hidden="false" customHeight="false" outlineLevel="0" collapsed="false">
      <c r="A89" s="1" t="s">
        <v>328</v>
      </c>
      <c r="B89" s="27" t="s">
        <v>216</v>
      </c>
      <c r="C89" s="1" t="s">
        <v>332</v>
      </c>
      <c r="D89" s="1" t="n">
        <v>425</v>
      </c>
      <c r="E89" s="25" t="n">
        <v>0.262</v>
      </c>
      <c r="F89" s="1" t="n">
        <v>1621</v>
      </c>
      <c r="G89" s="1" t="n">
        <v>6645</v>
      </c>
      <c r="H89" s="28" t="n">
        <f aca="false">ROUND(D89*IF(ISNUMBER(SEARCH("Labour",B89)),National!$L$4,IF(ISNUMBER(SEARCH("Conservative",B89)),National!$L$5,IF(OR(ISNUMBER(SEARCH("Reform",B89)),ISNUMBER(SEARCH("RefUK",B89))),National!$L$6,IF(ISNUMBER(SEARCH("Green",B89)),National!$L$7,IF(OR(ISNUMBER(SEARCH("Liberal Democrat",B89)),ISNUMBER(SEARCH("Lib Dem",B89))),National!$L$8,National!$L$9))))),0)</f>
        <v>168</v>
      </c>
      <c r="I89" s="25" t="n">
        <f aca="false">H89/SUMIFS(H:H,A:A,A89)</f>
        <v>0.0793950850661626</v>
      </c>
      <c r="J89" s="29" t="n">
        <f aca="false">ROUND(I89*SUMIF(A:A,A89,D:D),0)</f>
        <v>242</v>
      </c>
      <c r="K89" s="24" t="n">
        <f aca="false">ROUND(AVERAGEIFS(J:J,A:A,A89,B:B,B89)/COUNTIFS(B:B,B89,A:A,A89),0)</f>
        <v>130</v>
      </c>
      <c r="L89" s="25" t="n">
        <f aca="false">K89/SUMIF(A:A,A89,K:K)</f>
        <v>0.0680272108843538</v>
      </c>
      <c r="M89" s="1" t="n">
        <f aca="false">ROUND(SUMIF(A:A,A89,J:J)*L89,0)</f>
        <v>208</v>
      </c>
      <c r="N89" s="1" t="str">
        <f aca="false">IF(O89=1,"Yes",IF(AND(O89&gt;1,SUMIFS(L:L,B:B,"&lt;&gt;Green",A:A,A89)+5%&gt;=SUMIFS(L:L,A:A,A89,B:B,"&lt;&gt;Green",O:O,1)),"No","Yes"))</f>
        <v>No</v>
      </c>
      <c r="O89" s="1" t="n">
        <f aca="false">COUNTIFS(A:A,A89,P:P,"&gt;"&amp;P89)+1</f>
        <v>4</v>
      </c>
      <c r="P89" s="25" t="n">
        <f aca="false">SUMIFS(L:L,A:A,A89,B:B,B89)</f>
        <v>0.136054421768708</v>
      </c>
    </row>
    <row r="90" customFormat="false" ht="13.8" hidden="false" customHeight="false" outlineLevel="0" collapsed="false">
      <c r="A90" s="1" t="s">
        <v>328</v>
      </c>
      <c r="B90" s="30" t="s">
        <v>219</v>
      </c>
      <c r="C90" s="1" t="s">
        <v>333</v>
      </c>
      <c r="D90" s="1" t="n">
        <v>156</v>
      </c>
      <c r="E90" s="25" t="n">
        <v>0.096</v>
      </c>
      <c r="F90" s="1" t="n">
        <v>1621</v>
      </c>
      <c r="G90" s="1" t="n">
        <v>6645</v>
      </c>
      <c r="H90" s="28" t="n">
        <f aca="false">ROUND(D90*IF(ISNUMBER(SEARCH("Labour",B90)),National!$L$4,IF(ISNUMBER(SEARCH("Conservative",B90)),National!$L$5,IF(OR(ISNUMBER(SEARCH("Reform",B90)),ISNUMBER(SEARCH("RefUK",B90))),National!$L$6,IF(ISNUMBER(SEARCH("Green",B90)),National!$L$7,IF(OR(ISNUMBER(SEARCH("Liberal Democrat",B90)),ISNUMBER(SEARCH("Lib Dem",B90))),National!$L$8,National!$L$9))))),0)</f>
        <v>371</v>
      </c>
      <c r="I90" s="25" t="n">
        <f aca="false">H90/SUMIFS(H:H,A:A,A90)</f>
        <v>0.175330812854442</v>
      </c>
      <c r="J90" s="29" t="n">
        <f aca="false">ROUND(I90*SUMIF(A:A,A90,D:D),0)</f>
        <v>535</v>
      </c>
      <c r="K90" s="24" t="n">
        <f aca="false">ROUND(AVERAGEIFS(J:J,A:A,A90,B:B,B90)/COUNTIFS(B:B,B90,A:A,A90),0)</f>
        <v>535</v>
      </c>
      <c r="L90" s="25" t="n">
        <f aca="false">K90/SUMIF(A:A,A90,K:K)</f>
        <v>0.279958137100994</v>
      </c>
      <c r="M90" s="1" t="n">
        <f aca="false">ROUND(SUMIF(A:A,A90,J:J)*L90,0)</f>
        <v>855</v>
      </c>
      <c r="N90" s="1" t="str">
        <f aca="false">IF(O90=1,"Yes",IF(AND(O90&gt;1,SUMIFS(L:L,B:B,"&lt;&gt;Green",A:A,A90)+5%&gt;=SUMIFS(L:L,A:A,A90,B:B,"&lt;&gt;Green",O:O,1)),"No","Yes"))</f>
        <v>No</v>
      </c>
      <c r="O90" s="1" t="n">
        <f aca="false">COUNTIFS(A:A,A90,P:P,"&gt;"&amp;P90)+1</f>
        <v>3</v>
      </c>
      <c r="P90" s="25" t="n">
        <f aca="false">SUMIFS(L:L,A:A,A90,B:B,B90)</f>
        <v>0.279958137100994</v>
      </c>
    </row>
    <row r="91" customFormat="false" ht="13.8" hidden="false" customHeight="false" outlineLevel="0" collapsed="false">
      <c r="A91" s="1" t="s">
        <v>328</v>
      </c>
      <c r="B91" s="27" t="s">
        <v>19</v>
      </c>
      <c r="C91" s="1" t="s">
        <v>334</v>
      </c>
      <c r="D91" s="1" t="n">
        <v>116</v>
      </c>
      <c r="E91" s="25" t="n">
        <v>0.076</v>
      </c>
      <c r="F91" s="1" t="n">
        <v>1621</v>
      </c>
      <c r="G91" s="1" t="n">
        <v>6645</v>
      </c>
      <c r="H91" s="28" t="n">
        <f aca="false">ROUND(D91*IF(ISNUMBER(SEARCH("Labour",B91)),National!$L$4,IF(ISNUMBER(SEARCH("Conservative",B91)),National!$L$5,IF(OR(ISNUMBER(SEARCH("Reform",B91)),ISNUMBER(SEARCH("RefUK",B91))),National!$L$6,IF(ISNUMBER(SEARCH("Green",B91)),National!$L$7,IF(OR(ISNUMBER(SEARCH("Liberal Democrat",B91)),ISNUMBER(SEARCH("Lib Dem",B91))),National!$L$8,National!$L$9))))),0)</f>
        <v>162</v>
      </c>
      <c r="I91" s="25" t="n">
        <f aca="false">H91/SUMIFS(H:H,A:A,A91)</f>
        <v>0.0765595463137996</v>
      </c>
      <c r="J91" s="29" t="n">
        <f aca="false">ROUND(I91*SUMIF(A:A,A91,D:D),0)</f>
        <v>234</v>
      </c>
      <c r="K91" s="24" t="n">
        <f aca="false">ROUND(AVERAGEIFS(J:J,A:A,A91,B:B,B91)/COUNTIFS(B:B,B91,A:A,A91),0)</f>
        <v>234</v>
      </c>
      <c r="L91" s="25" t="n">
        <f aca="false">K91/SUMIF(A:A,A91,K:K)</f>
        <v>0.122448979591837</v>
      </c>
      <c r="M91" s="1" t="n">
        <f aca="false">ROUND(SUMIF(A:A,A91,J:J)*L91,0)</f>
        <v>374</v>
      </c>
      <c r="N91" s="1" t="str">
        <f aca="false">IF(O91=1,"Yes",IF(AND(O91&gt;1,SUMIFS(L:L,B:B,"&lt;&gt;Green",A:A,A91)+5%&gt;=SUMIFS(L:L,A:A,A91,B:B,"&lt;&gt;Green",O:O,1)),"No","Yes"))</f>
        <v>No</v>
      </c>
      <c r="O91" s="1" t="n">
        <f aca="false">COUNTIFS(A:A,A91,P:P,"&gt;"&amp;P91)+1</f>
        <v>6</v>
      </c>
      <c r="P91" s="25" t="n">
        <f aca="false">SUMIFS(L:L,A:A,A91,B:B,B91)</f>
        <v>0.122448979591837</v>
      </c>
    </row>
    <row r="92" customFormat="false" ht="13.8" hidden="false" customHeight="false" outlineLevel="0" collapsed="false">
      <c r="A92" s="1" t="s">
        <v>335</v>
      </c>
      <c r="B92" s="27" t="s">
        <v>241</v>
      </c>
      <c r="C92" s="1" t="s">
        <v>336</v>
      </c>
      <c r="D92" s="1" t="n">
        <v>1210</v>
      </c>
      <c r="E92" s="25" t="n">
        <v>0.407</v>
      </c>
      <c r="F92" s="1" t="n">
        <v>2971</v>
      </c>
      <c r="G92" s="1" t="n">
        <v>10341</v>
      </c>
      <c r="H92" s="28" t="n">
        <f aca="false">ROUND(D92*IF(ISNUMBER(SEARCH("Labour",B92)),National!$L$4,IF(ISNUMBER(SEARCH("Conservative",B92)),National!$L$5,IF(OR(ISNUMBER(SEARCH("Reform",B92)),ISNUMBER(SEARCH("RefUK",B92))),National!$L$6,IF(ISNUMBER(SEARCH("Green",B92)),National!$L$7,IF(OR(ISNUMBER(SEARCH("Liberal Democrat",B92)),ISNUMBER(SEARCH("Lib Dem",B92))),National!$L$8,National!$L$9))))),0)</f>
        <v>791</v>
      </c>
      <c r="I92" s="25" t="n">
        <f aca="false">H92/SUMIFS(H:H,A:A,A92)</f>
        <v>0.123247117482082</v>
      </c>
      <c r="J92" s="29" t="n">
        <f aca="false">ROUND(I92*SUMIF(A:A,A92,D:D),0)</f>
        <v>1010</v>
      </c>
      <c r="K92" s="24" t="n">
        <f aca="false">ROUND(AVERAGEIFS(J:J,A:A,A92,B:B,B92)/COUNTIFS(B:B,B92,A:A,A92),0)</f>
        <v>322</v>
      </c>
      <c r="L92" s="25" t="n">
        <f aca="false">K92/SUMIF(A:A,A92,K:K)</f>
        <v>0.0888766215843224</v>
      </c>
      <c r="M92" s="1" t="n">
        <f aca="false">ROUND(SUMIF(A:A,A92,J:J)*L92,0)</f>
        <v>728</v>
      </c>
      <c r="N92" s="1" t="str">
        <f aca="false">IF(O92=1,"Yes",IF(AND(O92&gt;1,SUMIFS(L:L,B:B,"&lt;&gt;Green",A:A,A92)+5%&gt;=SUMIFS(L:L,A:A,A92,B:B,"&lt;&gt;Green",O:O,1)),"No","Yes"))</f>
        <v>No</v>
      </c>
      <c r="O92" s="1" t="n">
        <f aca="false">COUNTIFS(A:A,A92,P:P,"&gt;"&amp;P92)+1</f>
        <v>2</v>
      </c>
      <c r="P92" s="25" t="n">
        <f aca="false">SUMIFS(L:L,A:A,A92,B:B,B92)</f>
        <v>0.266629864752967</v>
      </c>
    </row>
    <row r="93" customFormat="false" ht="13.8" hidden="false" customHeight="false" outlineLevel="0" collapsed="false">
      <c r="A93" s="1" t="s">
        <v>335</v>
      </c>
      <c r="B93" s="27" t="s">
        <v>241</v>
      </c>
      <c r="C93" s="1" t="s">
        <v>337</v>
      </c>
      <c r="D93" s="1" t="n">
        <v>1138</v>
      </c>
      <c r="E93" s="25" t="n">
        <v>0.383</v>
      </c>
      <c r="F93" s="1" t="n">
        <v>2971</v>
      </c>
      <c r="G93" s="1" t="n">
        <v>10341</v>
      </c>
      <c r="H93" s="28" t="n">
        <f aca="false">ROUND(D93*IF(ISNUMBER(SEARCH("Labour",B93)),National!$L$4,IF(ISNUMBER(SEARCH("Conservative",B93)),National!$L$5,IF(OR(ISNUMBER(SEARCH("Reform",B93)),ISNUMBER(SEARCH("RefUK",B93))),National!$L$6,IF(ISNUMBER(SEARCH("Green",B93)),National!$L$7,IF(OR(ISNUMBER(SEARCH("Liberal Democrat",B93)),ISNUMBER(SEARCH("Lib Dem",B93))),National!$L$8,National!$L$9))))),0)</f>
        <v>744</v>
      </c>
      <c r="I93" s="25" t="n">
        <f aca="false">H93/SUMIFS(H:H,A:A,A93)</f>
        <v>0.115923963851667</v>
      </c>
      <c r="J93" s="29" t="n">
        <f aca="false">ROUND(I93*SUMIF(A:A,A93,D:D),0)</f>
        <v>950</v>
      </c>
      <c r="K93" s="24" t="n">
        <f aca="false">ROUND(AVERAGEIFS(J:J,A:A,A93,B:B,B93)/COUNTIFS(B:B,B93,A:A,A93),0)</f>
        <v>322</v>
      </c>
      <c r="L93" s="25" t="n">
        <f aca="false">K93/SUMIF(A:A,A93,K:K)</f>
        <v>0.0888766215843224</v>
      </c>
      <c r="M93" s="1" t="n">
        <f aca="false">ROUND(SUMIF(A:A,A93,J:J)*L93,0)</f>
        <v>728</v>
      </c>
      <c r="N93" s="1" t="str">
        <f aca="false">IF(O93=1,"Yes",IF(AND(O93&gt;1,SUMIFS(L:L,B:B,"&lt;&gt;Green",A:A,A93)+5%&gt;=SUMIFS(L:L,A:A,A93,B:B,"&lt;&gt;Green",O:O,1)),"No","Yes"))</f>
        <v>No</v>
      </c>
      <c r="O93" s="1" t="n">
        <f aca="false">COUNTIFS(A:A,A93,P:P,"&gt;"&amp;P93)+1</f>
        <v>2</v>
      </c>
      <c r="P93" s="25" t="n">
        <f aca="false">SUMIFS(L:L,A:A,A93,B:B,B93)</f>
        <v>0.266629864752967</v>
      </c>
    </row>
    <row r="94" customFormat="false" ht="13.8" hidden="false" customHeight="false" outlineLevel="0" collapsed="false">
      <c r="A94" s="1" t="s">
        <v>335</v>
      </c>
      <c r="B94" s="27" t="s">
        <v>241</v>
      </c>
      <c r="C94" s="1" t="s">
        <v>338</v>
      </c>
      <c r="D94" s="1" t="n">
        <v>1124</v>
      </c>
      <c r="E94" s="25" t="n">
        <v>0.378</v>
      </c>
      <c r="F94" s="1" t="n">
        <v>2971</v>
      </c>
      <c r="G94" s="1" t="n">
        <v>10341</v>
      </c>
      <c r="H94" s="28" t="n">
        <f aca="false">ROUND(D94*IF(ISNUMBER(SEARCH("Labour",B94)),National!$L$4,IF(ISNUMBER(SEARCH("Conservative",B94)),National!$L$5,IF(OR(ISNUMBER(SEARCH("Reform",B94)),ISNUMBER(SEARCH("RefUK",B94))),National!$L$6,IF(ISNUMBER(SEARCH("Green",B94)),National!$L$7,IF(OR(ISNUMBER(SEARCH("Liberal Democrat",B94)),ISNUMBER(SEARCH("Lib Dem",B94))),National!$L$8,National!$L$9))))),0)</f>
        <v>735</v>
      </c>
      <c r="I94" s="25" t="n">
        <f aca="false">H94/SUMIFS(H:H,A:A,A94)</f>
        <v>0.114521657837333</v>
      </c>
      <c r="J94" s="29" t="n">
        <f aca="false">ROUND(I94*SUMIF(A:A,A94,D:D),0)</f>
        <v>938</v>
      </c>
      <c r="K94" s="24" t="n">
        <f aca="false">ROUND(AVERAGEIFS(J:J,A:A,A94,B:B,B94)/COUNTIFS(B:B,B94,A:A,A94),0)</f>
        <v>322</v>
      </c>
      <c r="L94" s="25" t="n">
        <f aca="false">K94/SUMIF(A:A,A94,K:K)</f>
        <v>0.0888766215843224</v>
      </c>
      <c r="M94" s="1" t="n">
        <f aca="false">ROUND(SUMIF(A:A,A94,J:J)*L94,0)</f>
        <v>728</v>
      </c>
      <c r="N94" s="1" t="str">
        <f aca="false">IF(O94=1,"Yes",IF(AND(O94&gt;1,SUMIFS(L:L,B:B,"&lt;&gt;Green",A:A,A94)+5%&gt;=SUMIFS(L:L,A:A,A94,B:B,"&lt;&gt;Green",O:O,1)),"No","Yes"))</f>
        <v>No</v>
      </c>
      <c r="O94" s="1" t="n">
        <f aca="false">COUNTIFS(A:A,A94,P:P,"&gt;"&amp;P94)+1</f>
        <v>2</v>
      </c>
      <c r="P94" s="25" t="n">
        <f aca="false">SUMIFS(L:L,A:A,A94,B:B,B94)</f>
        <v>0.266629864752967</v>
      </c>
    </row>
    <row r="95" customFormat="false" ht="13.8" hidden="false" customHeight="false" outlineLevel="0" collapsed="false">
      <c r="A95" s="1" t="s">
        <v>335</v>
      </c>
      <c r="B95" s="27" t="s">
        <v>216</v>
      </c>
      <c r="C95" s="1" t="s">
        <v>339</v>
      </c>
      <c r="D95" s="1" t="n">
        <v>1025</v>
      </c>
      <c r="E95" s="25" t="n">
        <v>0.345</v>
      </c>
      <c r="F95" s="1" t="n">
        <v>2971</v>
      </c>
      <c r="G95" s="1" t="n">
        <v>10341</v>
      </c>
      <c r="H95" s="28" t="n">
        <f aca="false">ROUND(D95*IF(ISNUMBER(SEARCH("Labour",B95)),National!$L$4,IF(ISNUMBER(SEARCH("Conservative",B95)),National!$L$5,IF(OR(ISNUMBER(SEARCH("Reform",B95)),ISNUMBER(SEARCH("RefUK",B95))),National!$L$6,IF(ISNUMBER(SEARCH("Green",B95)),National!$L$7,IF(OR(ISNUMBER(SEARCH("Liberal Democrat",B95)),ISNUMBER(SEARCH("Lib Dem",B95))),National!$L$8,National!$L$9))))),0)</f>
        <v>405</v>
      </c>
      <c r="I95" s="25" t="n">
        <f aca="false">H95/SUMIFS(H:H,A:A,A95)</f>
        <v>0.0631037706450608</v>
      </c>
      <c r="J95" s="29" t="n">
        <f aca="false">ROUND(I95*SUMIF(A:A,A95,D:D),0)</f>
        <v>517</v>
      </c>
      <c r="K95" s="24" t="n">
        <f aca="false">ROUND(AVERAGEIFS(J:J,A:A,A95,B:B,B95)/COUNTIFS(B:B,B95,A:A,A95),0)</f>
        <v>161</v>
      </c>
      <c r="L95" s="25" t="n">
        <f aca="false">K95/SUMIF(A:A,A95,K:K)</f>
        <v>0.0444383107921612</v>
      </c>
      <c r="M95" s="1" t="n">
        <f aca="false">ROUND(SUMIF(A:A,A95,J:J)*L95,0)</f>
        <v>364</v>
      </c>
      <c r="N95" s="1" t="str">
        <f aca="false">IF(O95=1,"Yes",IF(AND(O95&gt;1,SUMIFS(L:L,B:B,"&lt;&gt;Green",A:A,A95)+5%&gt;=SUMIFS(L:L,A:A,A95,B:B,"&lt;&gt;Green",O:O,1)),"No","Yes"))</f>
        <v>No</v>
      </c>
      <c r="O95" s="1" t="n">
        <f aca="false">COUNTIFS(A:A,A95,P:P,"&gt;"&amp;P95)+1</f>
        <v>8</v>
      </c>
      <c r="P95" s="25" t="n">
        <f aca="false">SUMIFS(L:L,A:A,A95,B:B,B95)</f>
        <v>0.133314932376484</v>
      </c>
    </row>
    <row r="96" customFormat="false" ht="13.8" hidden="false" customHeight="false" outlineLevel="0" collapsed="false">
      <c r="A96" s="1" t="s">
        <v>335</v>
      </c>
      <c r="B96" s="27" t="s">
        <v>216</v>
      </c>
      <c r="C96" s="1" t="s">
        <v>340</v>
      </c>
      <c r="D96" s="1" t="n">
        <v>946</v>
      </c>
      <c r="E96" s="25" t="n">
        <v>0.318</v>
      </c>
      <c r="F96" s="1" t="n">
        <v>2971</v>
      </c>
      <c r="G96" s="1" t="n">
        <v>10341</v>
      </c>
      <c r="H96" s="28" t="n">
        <f aca="false">ROUND(D96*IF(ISNUMBER(SEARCH("Labour",B96)),National!$L$4,IF(ISNUMBER(SEARCH("Conservative",B96)),National!$L$5,IF(OR(ISNUMBER(SEARCH("Reform",B96)),ISNUMBER(SEARCH("RefUK",B96))),National!$L$6,IF(ISNUMBER(SEARCH("Green",B96)),National!$L$7,IF(OR(ISNUMBER(SEARCH("Liberal Democrat",B96)),ISNUMBER(SEARCH("Lib Dem",B96))),National!$L$8,National!$L$9))))),0)</f>
        <v>374</v>
      </c>
      <c r="I96" s="25" t="n">
        <f aca="false">H96/SUMIFS(H:H,A:A,A96)</f>
        <v>0.0582736054845746</v>
      </c>
      <c r="J96" s="29" t="n">
        <f aca="false">ROUND(I96*SUMIF(A:A,A96,D:D),0)</f>
        <v>477</v>
      </c>
      <c r="K96" s="24" t="n">
        <f aca="false">ROUND(AVERAGEIFS(J:J,A:A,A96,B:B,B96)/COUNTIFS(B:B,B96,A:A,A96),0)</f>
        <v>161</v>
      </c>
      <c r="L96" s="25" t="n">
        <f aca="false">K96/SUMIF(A:A,A96,K:K)</f>
        <v>0.0444383107921612</v>
      </c>
      <c r="M96" s="1" t="n">
        <f aca="false">ROUND(SUMIF(A:A,A96,J:J)*L96,0)</f>
        <v>364</v>
      </c>
      <c r="N96" s="1" t="str">
        <f aca="false">IF(O96=1,"Yes",IF(AND(O96&gt;1,SUMIFS(L:L,B:B,"&lt;&gt;Green",A:A,A96)+5%&gt;=SUMIFS(L:L,A:A,A96,B:B,"&lt;&gt;Green",O:O,1)),"No","Yes"))</f>
        <v>No</v>
      </c>
      <c r="O96" s="1" t="n">
        <f aca="false">COUNTIFS(A:A,A96,P:P,"&gt;"&amp;P96)+1</f>
        <v>8</v>
      </c>
      <c r="P96" s="25" t="n">
        <f aca="false">SUMIFS(L:L,A:A,A96,B:B,B96)</f>
        <v>0.133314932376484</v>
      </c>
    </row>
    <row r="97" customFormat="false" ht="13.8" hidden="false" customHeight="false" outlineLevel="0" collapsed="false">
      <c r="A97" s="1" t="s">
        <v>335</v>
      </c>
      <c r="B97" s="27" t="s">
        <v>216</v>
      </c>
      <c r="C97" s="1" t="s">
        <v>341</v>
      </c>
      <c r="D97" s="1" t="n">
        <v>907</v>
      </c>
      <c r="E97" s="25" t="n">
        <v>0.305</v>
      </c>
      <c r="F97" s="1" t="n">
        <v>2971</v>
      </c>
      <c r="G97" s="1" t="n">
        <v>10341</v>
      </c>
      <c r="H97" s="28" t="n">
        <f aca="false">ROUND(D97*IF(ISNUMBER(SEARCH("Labour",B97)),National!$L$4,IF(ISNUMBER(SEARCH("Conservative",B97)),National!$L$5,IF(OR(ISNUMBER(SEARCH("Reform",B97)),ISNUMBER(SEARCH("RefUK",B97))),National!$L$6,IF(ISNUMBER(SEARCH("Green",B97)),National!$L$7,IF(OR(ISNUMBER(SEARCH("Liberal Democrat",B97)),ISNUMBER(SEARCH("Lib Dem",B97))),National!$L$8,National!$L$9))))),0)</f>
        <v>359</v>
      </c>
      <c r="I97" s="25" t="n">
        <f aca="false">H97/SUMIFS(H:H,A:A,A97)</f>
        <v>0.0559364287940168</v>
      </c>
      <c r="J97" s="29" t="n">
        <f aca="false">ROUND(I97*SUMIF(A:A,A97,D:D),0)</f>
        <v>458</v>
      </c>
      <c r="K97" s="24" t="n">
        <f aca="false">ROUND(AVERAGEIFS(J:J,A:A,A97,B:B,B97)/COUNTIFS(B:B,B97,A:A,A97),0)</f>
        <v>161</v>
      </c>
      <c r="L97" s="25" t="n">
        <f aca="false">K97/SUMIF(A:A,A97,K:K)</f>
        <v>0.0444383107921612</v>
      </c>
      <c r="M97" s="1" t="n">
        <f aca="false">ROUND(SUMIF(A:A,A97,J:J)*L97,0)</f>
        <v>364</v>
      </c>
      <c r="N97" s="1" t="str">
        <f aca="false">IF(O97=1,"Yes",IF(AND(O97&gt;1,SUMIFS(L:L,B:B,"&lt;&gt;Green",A:A,A97)+5%&gt;=SUMIFS(L:L,A:A,A97,B:B,"&lt;&gt;Green",O:O,1)),"No","Yes"))</f>
        <v>No</v>
      </c>
      <c r="O97" s="1" t="n">
        <f aca="false">COUNTIFS(A:A,A97,P:P,"&gt;"&amp;P97)+1</f>
        <v>8</v>
      </c>
      <c r="P97" s="25" t="n">
        <f aca="false">SUMIFS(L:L,A:A,A97,B:B,B97)</f>
        <v>0.133314932376484</v>
      </c>
    </row>
    <row r="98" customFormat="false" ht="13.8" hidden="false" customHeight="false" outlineLevel="0" collapsed="false">
      <c r="A98" s="1" t="s">
        <v>335</v>
      </c>
      <c r="B98" s="27" t="s">
        <v>19</v>
      </c>
      <c r="C98" s="1" t="s">
        <v>342</v>
      </c>
      <c r="D98" s="1" t="n">
        <v>675</v>
      </c>
      <c r="E98" s="25" t="n">
        <v>0.227</v>
      </c>
      <c r="F98" s="1" t="n">
        <v>2971</v>
      </c>
      <c r="G98" s="1" t="n">
        <v>10341</v>
      </c>
      <c r="H98" s="28" t="n">
        <f aca="false">ROUND(D98*IF(ISNUMBER(SEARCH("Labour",B98)),National!$L$4,IF(ISNUMBER(SEARCH("Conservative",B98)),National!$L$5,IF(OR(ISNUMBER(SEARCH("Reform",B98)),ISNUMBER(SEARCH("RefUK",B98))),National!$L$6,IF(ISNUMBER(SEARCH("Green",B98)),National!$L$7,IF(OR(ISNUMBER(SEARCH("Liberal Democrat",B98)),ISNUMBER(SEARCH("Lib Dem",B98))),National!$L$8,National!$L$9))))),0)</f>
        <v>945</v>
      </c>
      <c r="I98" s="25" t="n">
        <f aca="false">H98/SUMIFS(H:H,A:A,A98)</f>
        <v>0.147242131505142</v>
      </c>
      <c r="J98" s="29" t="n">
        <f aca="false">ROUND(I98*SUMIF(A:A,A98,D:D),0)</f>
        <v>1206</v>
      </c>
      <c r="K98" s="24" t="n">
        <f aca="false">ROUND(AVERAGEIFS(J:J,A:A,A98,B:B,B98)/COUNTIFS(B:B,B98,A:A,A98),0)</f>
        <v>278</v>
      </c>
      <c r="L98" s="25" t="n">
        <f aca="false">K98/SUMIF(A:A,A98,K:K)</f>
        <v>0.0767319900634833</v>
      </c>
      <c r="M98" s="1" t="n">
        <f aca="false">ROUND(SUMIF(A:A,A98,J:J)*L98,0)</f>
        <v>629</v>
      </c>
      <c r="N98" s="1" t="str">
        <f aca="false">IF(O98=1,"Yes",IF(AND(O98&gt;1,SUMIFS(L:L,B:B,"&lt;&gt;Green",A:A,A98)+5%&gt;=SUMIFS(L:L,A:A,A98,B:B,"&lt;&gt;Green",O:O,1)),"No","Yes"))</f>
        <v>No</v>
      </c>
      <c r="O98" s="1" t="n">
        <f aca="false">COUNTIFS(A:A,A98,P:P,"&gt;"&amp;P98)+1</f>
        <v>5</v>
      </c>
      <c r="P98" s="25" t="n">
        <f aca="false">SUMIFS(L:L,A:A,A98,B:B,B98)</f>
        <v>0.23019597019045</v>
      </c>
    </row>
    <row r="99" customFormat="false" ht="13.8" hidden="false" customHeight="false" outlineLevel="0" collapsed="false">
      <c r="A99" s="1" t="s">
        <v>335</v>
      </c>
      <c r="B99" s="30" t="s">
        <v>219</v>
      </c>
      <c r="C99" s="1" t="s">
        <v>343</v>
      </c>
      <c r="D99" s="1" t="n">
        <v>442</v>
      </c>
      <c r="E99" s="25" t="n">
        <v>0.149</v>
      </c>
      <c r="F99" s="1" t="n">
        <v>2971</v>
      </c>
      <c r="G99" s="1" t="n">
        <v>10341</v>
      </c>
      <c r="H99" s="28" t="n">
        <f aca="false">ROUND(D99*IF(ISNUMBER(SEARCH("Labour",B99)),National!$L$4,IF(ISNUMBER(SEARCH("Conservative",B99)),National!$L$5,IF(OR(ISNUMBER(SEARCH("Reform",B99)),ISNUMBER(SEARCH("RefUK",B99))),National!$L$6,IF(ISNUMBER(SEARCH("Green",B99)),National!$L$7,IF(OR(ISNUMBER(SEARCH("Liberal Democrat",B99)),ISNUMBER(SEARCH("Lib Dem",B99))),National!$L$8,National!$L$9))))),0)</f>
        <v>1050</v>
      </c>
      <c r="I99" s="25" t="n">
        <f aca="false">H99/SUMIFS(H:H,A:A,A99)</f>
        <v>0.163602368339046</v>
      </c>
      <c r="J99" s="29" t="n">
        <f aca="false">ROUND(I99*SUMIF(A:A,A99,D:D),0)</f>
        <v>1340</v>
      </c>
      <c r="K99" s="24" t="n">
        <f aca="false">ROUND(AVERAGEIFS(J:J,A:A,A99,B:B,B99)/COUNTIFS(B:B,B99,A:A,A99),0)</f>
        <v>1340</v>
      </c>
      <c r="L99" s="25" t="n">
        <f aca="false">K99/SUMIF(A:A,A99,K:K)</f>
        <v>0.369859232680099</v>
      </c>
      <c r="M99" s="1" t="n">
        <f aca="false">ROUND(SUMIF(A:A,A99,J:J)*L99,0)</f>
        <v>3030</v>
      </c>
      <c r="N99" s="1" t="str">
        <f aca="false">IF(O99=1,"Yes",IF(AND(O99&gt;1,SUMIFS(L:L,B:B,"&lt;&gt;Green",A:A,A99)+5%&gt;=SUMIFS(L:L,A:A,A99,B:B,"&lt;&gt;Green",O:O,1)),"No","Yes"))</f>
        <v>Yes</v>
      </c>
      <c r="O99" s="1" t="n">
        <f aca="false">COUNTIFS(A:A,A99,P:P,"&gt;"&amp;P99)+1</f>
        <v>1</v>
      </c>
      <c r="P99" s="25" t="n">
        <f aca="false">SUMIFS(L:L,A:A,A99,B:B,B99)</f>
        <v>0.369859232680099</v>
      </c>
    </row>
    <row r="100" customFormat="false" ht="13.8" hidden="false" customHeight="false" outlineLevel="0" collapsed="false">
      <c r="A100" s="1" t="s">
        <v>335</v>
      </c>
      <c r="B100" s="27" t="s">
        <v>19</v>
      </c>
      <c r="C100" s="1" t="s">
        <v>344</v>
      </c>
      <c r="D100" s="1" t="n">
        <v>402</v>
      </c>
      <c r="E100" s="25" t="n">
        <v>0.135</v>
      </c>
      <c r="F100" s="1" t="n">
        <v>2971</v>
      </c>
      <c r="G100" s="1" t="n">
        <v>10341</v>
      </c>
      <c r="H100" s="28" t="n">
        <f aca="false">ROUND(D100*IF(ISNUMBER(SEARCH("Labour",B100)),National!$L$4,IF(ISNUMBER(SEARCH("Conservative",B100)),National!$L$5,IF(OR(ISNUMBER(SEARCH("Reform",B100)),ISNUMBER(SEARCH("RefUK",B100))),National!$L$6,IF(ISNUMBER(SEARCH("Green",B100)),National!$L$7,IF(OR(ISNUMBER(SEARCH("Liberal Democrat",B100)),ISNUMBER(SEARCH("Lib Dem",B100))),National!$L$8,National!$L$9))))),0)</f>
        <v>563</v>
      </c>
      <c r="I100" s="25" t="n">
        <f aca="false">H100/SUMIFS(H:H,A:A,A100)</f>
        <v>0.087722031785603</v>
      </c>
      <c r="J100" s="29" t="n">
        <f aca="false">ROUND(I100*SUMIF(A:A,A100,D:D),0)</f>
        <v>719</v>
      </c>
      <c r="K100" s="24" t="n">
        <f aca="false">ROUND(AVERAGEIFS(J:J,A:A,A100,B:B,B100)/COUNTIFS(B:B,B100,A:A,A100),0)</f>
        <v>278</v>
      </c>
      <c r="L100" s="25" t="n">
        <f aca="false">K100/SUMIF(A:A,A100,K:K)</f>
        <v>0.0767319900634833</v>
      </c>
      <c r="M100" s="1" t="n">
        <f aca="false">ROUND(SUMIF(A:A,A100,J:J)*L100,0)</f>
        <v>629</v>
      </c>
      <c r="N100" s="1" t="str">
        <f aca="false">IF(O100=1,"Yes",IF(AND(O100&gt;1,SUMIFS(L:L,B:B,"&lt;&gt;Green",A:A,A100)+5%&gt;=SUMIFS(L:L,A:A,A100,B:B,"&lt;&gt;Green",O:O,1)),"No","Yes"))</f>
        <v>No</v>
      </c>
      <c r="O100" s="1" t="n">
        <f aca="false">COUNTIFS(A:A,A100,P:P,"&gt;"&amp;P100)+1</f>
        <v>5</v>
      </c>
      <c r="P100" s="25" t="n">
        <f aca="false">SUMIFS(L:L,A:A,A100,B:B,B100)</f>
        <v>0.23019597019045</v>
      </c>
    </row>
    <row r="101" customFormat="false" ht="13.8" hidden="false" customHeight="false" outlineLevel="0" collapsed="false">
      <c r="A101" s="1" t="s">
        <v>335</v>
      </c>
      <c r="B101" s="27" t="s">
        <v>19</v>
      </c>
      <c r="C101" s="1" t="s">
        <v>345</v>
      </c>
      <c r="D101" s="1" t="n">
        <v>323</v>
      </c>
      <c r="E101" s="25" t="n">
        <v>0.109</v>
      </c>
      <c r="F101" s="1" t="n">
        <v>2971</v>
      </c>
      <c r="G101" s="1" t="n">
        <v>10341</v>
      </c>
      <c r="H101" s="28" t="n">
        <f aca="false">ROUND(D101*IF(ISNUMBER(SEARCH("Labour",B101)),National!$L$4,IF(ISNUMBER(SEARCH("Conservative",B101)),National!$L$5,IF(OR(ISNUMBER(SEARCH("Reform",B101)),ISNUMBER(SEARCH("RefUK",B101))),National!$L$6,IF(ISNUMBER(SEARCH("Green",B101)),National!$L$7,IF(OR(ISNUMBER(SEARCH("Liberal Democrat",B101)),ISNUMBER(SEARCH("Lib Dem",B101))),National!$L$8,National!$L$9))))),0)</f>
        <v>452</v>
      </c>
      <c r="I101" s="25" t="n">
        <f aca="false">H101/SUMIFS(H:H,A:A,A101)</f>
        <v>0.0704269242754752</v>
      </c>
      <c r="J101" s="29" t="n">
        <f aca="false">ROUND(I101*SUMIF(A:A,A101,D:D),0)</f>
        <v>577</v>
      </c>
      <c r="K101" s="24" t="n">
        <f aca="false">ROUND(AVERAGEIFS(J:J,A:A,A101,B:B,B101)/COUNTIFS(B:B,B101,A:A,A101),0)</f>
        <v>278</v>
      </c>
      <c r="L101" s="25" t="n">
        <f aca="false">K101/SUMIF(A:A,A101,K:K)</f>
        <v>0.0767319900634833</v>
      </c>
      <c r="M101" s="1" t="n">
        <f aca="false">ROUND(SUMIF(A:A,A101,J:J)*L101,0)</f>
        <v>629</v>
      </c>
      <c r="N101" s="1" t="str">
        <f aca="false">IF(O101=1,"Yes",IF(AND(O101&gt;1,SUMIFS(L:L,B:B,"&lt;&gt;Green",A:A,A101)+5%&gt;=SUMIFS(L:L,A:A,A101,B:B,"&lt;&gt;Green",O:O,1)),"No","Yes"))</f>
        <v>No</v>
      </c>
      <c r="O101" s="1" t="n">
        <f aca="false">COUNTIFS(A:A,A101,P:P,"&gt;"&amp;P101)+1</f>
        <v>5</v>
      </c>
      <c r="P101" s="25" t="n">
        <f aca="false">SUMIFS(L:L,A:A,A101,B:B,B101)</f>
        <v>0.23019597019045</v>
      </c>
    </row>
    <row r="102" customFormat="false" ht="13.8" hidden="false" customHeight="false" outlineLevel="0" collapsed="false">
      <c r="A102" s="1" t="s">
        <v>346</v>
      </c>
      <c r="B102" s="27" t="s">
        <v>241</v>
      </c>
      <c r="C102" s="1" t="s">
        <v>347</v>
      </c>
      <c r="D102" s="1" t="n">
        <v>1455</v>
      </c>
      <c r="E102" s="25" t="n">
        <v>0.512</v>
      </c>
      <c r="F102" s="1" t="n">
        <v>2842</v>
      </c>
      <c r="G102" s="1" t="n">
        <v>10466</v>
      </c>
      <c r="H102" s="28" t="n">
        <f aca="false">ROUND(D102*IF(ISNUMBER(SEARCH("Labour",B102)),National!$L$4,IF(ISNUMBER(SEARCH("Conservative",B102)),National!$L$5,IF(OR(ISNUMBER(SEARCH("Reform",B102)),ISNUMBER(SEARCH("RefUK",B102))),National!$L$6,IF(ISNUMBER(SEARCH("Green",B102)),National!$L$7,IF(OR(ISNUMBER(SEARCH("Liberal Democrat",B102)),ISNUMBER(SEARCH("Lib Dem",B102))),National!$L$8,National!$L$9))))),0)</f>
        <v>951</v>
      </c>
      <c r="I102" s="25" t="n">
        <f aca="false">H102/SUMIFS(H:H,A:A,A102)</f>
        <v>0.172783430232558</v>
      </c>
      <c r="J102" s="29" t="n">
        <f aca="false">ROUND(I102*SUMIF(A:A,A102,D:D),0)</f>
        <v>1343</v>
      </c>
      <c r="K102" s="24" t="n">
        <f aca="false">ROUND(AVERAGEIFS(J:J,A:A,A102,B:B,B102)/COUNTIFS(B:B,B102,A:A,A102),0)</f>
        <v>444</v>
      </c>
      <c r="L102" s="25" t="n">
        <f aca="false">K102/SUMIF(A:A,A102,K:K)</f>
        <v>0.106500359798513</v>
      </c>
      <c r="M102" s="1" t="n">
        <f aca="false">ROUND(SUMIF(A:A,A102,J:J)*L102,0)</f>
        <v>828</v>
      </c>
      <c r="N102" s="1" t="str">
        <f aca="false">IF(O102=1,"Yes",IF(AND(O102&gt;1,SUMIFS(L:L,B:B,"&lt;&gt;Green",A:A,A102)+5%&gt;=SUMIFS(L:L,A:A,A102,B:B,"&lt;&gt;Green",O:O,1)),"No","Yes"))</f>
        <v>No</v>
      </c>
      <c r="O102" s="1" t="n">
        <f aca="false">COUNTIFS(A:A,A102,P:P,"&gt;"&amp;P102)+1</f>
        <v>2</v>
      </c>
      <c r="P102" s="25" t="n">
        <f aca="false">SUMIFS(L:L,A:A,A102,B:B,B102)</f>
        <v>0.319501079395539</v>
      </c>
    </row>
    <row r="103" customFormat="false" ht="13.8" hidden="false" customHeight="false" outlineLevel="0" collapsed="false">
      <c r="A103" s="1" t="s">
        <v>346</v>
      </c>
      <c r="B103" s="27" t="s">
        <v>241</v>
      </c>
      <c r="C103" s="1" t="s">
        <v>348</v>
      </c>
      <c r="D103" s="1" t="n">
        <v>1448</v>
      </c>
      <c r="E103" s="25" t="n">
        <v>0.51</v>
      </c>
      <c r="F103" s="1" t="n">
        <v>2842</v>
      </c>
      <c r="G103" s="1" t="n">
        <v>10466</v>
      </c>
      <c r="H103" s="28" t="n">
        <f aca="false">ROUND(D103*IF(ISNUMBER(SEARCH("Labour",B103)),National!$L$4,IF(ISNUMBER(SEARCH("Conservative",B103)),National!$L$5,IF(OR(ISNUMBER(SEARCH("Reform",B103)),ISNUMBER(SEARCH("RefUK",B103))),National!$L$6,IF(ISNUMBER(SEARCH("Green",B103)),National!$L$7,IF(OR(ISNUMBER(SEARCH("Liberal Democrat",B103)),ISNUMBER(SEARCH("Lib Dem",B103))),National!$L$8,National!$L$9))))),0)</f>
        <v>947</v>
      </c>
      <c r="I103" s="25" t="n">
        <f aca="false">H103/SUMIFS(H:H,A:A,A103)</f>
        <v>0.172056686046512</v>
      </c>
      <c r="J103" s="29" t="n">
        <f aca="false">ROUND(I103*SUMIF(A:A,A103,D:D),0)</f>
        <v>1337</v>
      </c>
      <c r="K103" s="24" t="n">
        <f aca="false">ROUND(AVERAGEIFS(J:J,A:A,A103,B:B,B103)/COUNTIFS(B:B,B103,A:A,A103),0)</f>
        <v>444</v>
      </c>
      <c r="L103" s="25" t="n">
        <f aca="false">K103/SUMIF(A:A,A103,K:K)</f>
        <v>0.106500359798513</v>
      </c>
      <c r="M103" s="1" t="n">
        <f aca="false">ROUND(SUMIF(A:A,A103,J:J)*L103,0)</f>
        <v>828</v>
      </c>
      <c r="N103" s="1" t="str">
        <f aca="false">IF(O103=1,"Yes",IF(AND(O103&gt;1,SUMIFS(L:L,B:B,"&lt;&gt;Green",A:A,A103)+5%&gt;=SUMIFS(L:L,A:A,A103,B:B,"&lt;&gt;Green",O:O,1)),"No","Yes"))</f>
        <v>No</v>
      </c>
      <c r="O103" s="1" t="n">
        <f aca="false">COUNTIFS(A:A,A103,P:P,"&gt;"&amp;P103)+1</f>
        <v>2</v>
      </c>
      <c r="P103" s="25" t="n">
        <f aca="false">SUMIFS(L:L,A:A,A103,B:B,B103)</f>
        <v>0.319501079395539</v>
      </c>
    </row>
    <row r="104" customFormat="false" ht="13.8" hidden="false" customHeight="false" outlineLevel="0" collapsed="false">
      <c r="A104" s="1" t="s">
        <v>346</v>
      </c>
      <c r="B104" s="27" t="s">
        <v>241</v>
      </c>
      <c r="C104" s="1" t="s">
        <v>349</v>
      </c>
      <c r="D104" s="1" t="n">
        <v>1430</v>
      </c>
      <c r="E104" s="25" t="n">
        <v>0.503</v>
      </c>
      <c r="F104" s="1" t="n">
        <v>2842</v>
      </c>
      <c r="G104" s="1" t="n">
        <v>10466</v>
      </c>
      <c r="H104" s="28" t="n">
        <f aca="false">ROUND(D104*IF(ISNUMBER(SEARCH("Labour",B104)),National!$L$4,IF(ISNUMBER(SEARCH("Conservative",B104)),National!$L$5,IF(OR(ISNUMBER(SEARCH("Reform",B104)),ISNUMBER(SEARCH("RefUK",B104))),National!$L$6,IF(ISNUMBER(SEARCH("Green",B104)),National!$L$7,IF(OR(ISNUMBER(SEARCH("Liberal Democrat",B104)),ISNUMBER(SEARCH("Lib Dem",B104))),National!$L$8,National!$L$9))))),0)</f>
        <v>935</v>
      </c>
      <c r="I104" s="25" t="n">
        <f aca="false">H104/SUMIFS(H:H,A:A,A104)</f>
        <v>0.169876453488372</v>
      </c>
      <c r="J104" s="29" t="n">
        <f aca="false">ROUND(I104*SUMIF(A:A,A104,D:D),0)</f>
        <v>1320</v>
      </c>
      <c r="K104" s="24" t="n">
        <f aca="false">ROUND(AVERAGEIFS(J:J,A:A,A104,B:B,B104)/COUNTIFS(B:B,B104,A:A,A104),0)</f>
        <v>444</v>
      </c>
      <c r="L104" s="25" t="n">
        <f aca="false">K104/SUMIF(A:A,A104,K:K)</f>
        <v>0.106500359798513</v>
      </c>
      <c r="M104" s="1" t="n">
        <f aca="false">ROUND(SUMIF(A:A,A104,J:J)*L104,0)</f>
        <v>828</v>
      </c>
      <c r="N104" s="1" t="str">
        <f aca="false">IF(O104=1,"Yes",IF(AND(O104&gt;1,SUMIFS(L:L,B:B,"&lt;&gt;Green",A:A,A104)+5%&gt;=SUMIFS(L:L,A:A,A104,B:B,"&lt;&gt;Green",O:O,1)),"No","Yes"))</f>
        <v>No</v>
      </c>
      <c r="O104" s="1" t="n">
        <f aca="false">COUNTIFS(A:A,A104,P:P,"&gt;"&amp;P104)+1</f>
        <v>2</v>
      </c>
      <c r="P104" s="25" t="n">
        <f aca="false">SUMIFS(L:L,A:A,A104,B:B,B104)</f>
        <v>0.319501079395539</v>
      </c>
    </row>
    <row r="105" customFormat="false" ht="13.8" hidden="false" customHeight="false" outlineLevel="0" collapsed="false">
      <c r="A105" s="1" t="s">
        <v>346</v>
      </c>
      <c r="B105" s="27" t="s">
        <v>216</v>
      </c>
      <c r="C105" s="1" t="s">
        <v>350</v>
      </c>
      <c r="D105" s="1" t="n">
        <v>920</v>
      </c>
      <c r="E105" s="25" t="n">
        <v>0.324</v>
      </c>
      <c r="F105" s="1" t="n">
        <v>2842</v>
      </c>
      <c r="G105" s="1" t="n">
        <v>10466</v>
      </c>
      <c r="H105" s="28" t="n">
        <f aca="false">ROUND(D105*IF(ISNUMBER(SEARCH("Labour",B105)),National!$L$4,IF(ISNUMBER(SEARCH("Conservative",B105)),National!$L$5,IF(OR(ISNUMBER(SEARCH("Reform",B105)),ISNUMBER(SEARCH("RefUK",B105))),National!$L$6,IF(ISNUMBER(SEARCH("Green",B105)),National!$L$7,IF(OR(ISNUMBER(SEARCH("Liberal Democrat",B105)),ISNUMBER(SEARCH("Lib Dem",B105))),National!$L$8,National!$L$9))))),0)</f>
        <v>364</v>
      </c>
      <c r="I105" s="25" t="n">
        <f aca="false">H105/SUMIFS(H:H,A:A,A105)</f>
        <v>0.0661337209302326</v>
      </c>
      <c r="J105" s="29" t="n">
        <f aca="false">ROUND(I105*SUMIF(A:A,A105,D:D),0)</f>
        <v>514</v>
      </c>
      <c r="K105" s="24" t="n">
        <f aca="false">ROUND(AVERAGEIFS(J:J,A:A,A105,B:B,B105)/COUNTIFS(B:B,B105,A:A,A105),0)</f>
        <v>156</v>
      </c>
      <c r="L105" s="25" t="n">
        <f aca="false">K105/SUMIF(A:A,A105,K:K)</f>
        <v>0.0374190453346126</v>
      </c>
      <c r="M105" s="1" t="n">
        <f aca="false">ROUND(SUMIF(A:A,A105,J:J)*L105,0)</f>
        <v>291</v>
      </c>
      <c r="N105" s="1" t="str">
        <f aca="false">IF(O105=1,"Yes",IF(AND(O105&gt;1,SUMIFS(L:L,B:B,"&lt;&gt;Green",A:A,A105)+5%&gt;=SUMIFS(L:L,A:A,A105,B:B,"&lt;&gt;Green",O:O,1)),"No","Yes"))</f>
        <v>No</v>
      </c>
      <c r="O105" s="1" t="n">
        <f aca="false">COUNTIFS(A:A,A105,P:P,"&gt;"&amp;P105)+1</f>
        <v>6</v>
      </c>
      <c r="P105" s="25" t="n">
        <f aca="false">SUMIFS(L:L,A:A,A105,B:B,B105)</f>
        <v>0.112257136003838</v>
      </c>
    </row>
    <row r="106" customFormat="false" ht="13.8" hidden="false" customHeight="false" outlineLevel="0" collapsed="false">
      <c r="A106" s="1" t="s">
        <v>346</v>
      </c>
      <c r="B106" s="27" t="s">
        <v>216</v>
      </c>
      <c r="C106" s="1" t="s">
        <v>351</v>
      </c>
      <c r="D106" s="1" t="n">
        <v>835</v>
      </c>
      <c r="E106" s="25" t="n">
        <v>0.294</v>
      </c>
      <c r="F106" s="1" t="n">
        <v>2842</v>
      </c>
      <c r="G106" s="1" t="n">
        <v>10466</v>
      </c>
      <c r="H106" s="28" t="n">
        <f aca="false">ROUND(D106*IF(ISNUMBER(SEARCH("Labour",B106)),National!$L$4,IF(ISNUMBER(SEARCH("Conservative",B106)),National!$L$5,IF(OR(ISNUMBER(SEARCH("Reform",B106)),ISNUMBER(SEARCH("RefUK",B106))),National!$L$6,IF(ISNUMBER(SEARCH("Green",B106)),National!$L$7,IF(OR(ISNUMBER(SEARCH("Liberal Democrat",B106)),ISNUMBER(SEARCH("Lib Dem",B106))),National!$L$8,National!$L$9))))),0)</f>
        <v>330</v>
      </c>
      <c r="I106" s="25" t="n">
        <f aca="false">H106/SUMIFS(H:H,A:A,A106)</f>
        <v>0.0599563953488372</v>
      </c>
      <c r="J106" s="29" t="n">
        <f aca="false">ROUND(I106*SUMIF(A:A,A106,D:D),0)</f>
        <v>466</v>
      </c>
      <c r="K106" s="24" t="n">
        <f aca="false">ROUND(AVERAGEIFS(J:J,A:A,A106,B:B,B106)/COUNTIFS(B:B,B106,A:A,A106),0)</f>
        <v>156</v>
      </c>
      <c r="L106" s="25" t="n">
        <f aca="false">K106/SUMIF(A:A,A106,K:K)</f>
        <v>0.0374190453346126</v>
      </c>
      <c r="M106" s="1" t="n">
        <f aca="false">ROUND(SUMIF(A:A,A106,J:J)*L106,0)</f>
        <v>291</v>
      </c>
      <c r="N106" s="1" t="str">
        <f aca="false">IF(O106=1,"Yes",IF(AND(O106&gt;1,SUMIFS(L:L,B:B,"&lt;&gt;Green",A:A,A106)+5%&gt;=SUMIFS(L:L,A:A,A106,B:B,"&lt;&gt;Green",O:O,1)),"No","Yes"))</f>
        <v>No</v>
      </c>
      <c r="O106" s="1" t="n">
        <f aca="false">COUNTIFS(A:A,A106,P:P,"&gt;"&amp;P106)+1</f>
        <v>6</v>
      </c>
      <c r="P106" s="25" t="n">
        <f aca="false">SUMIFS(L:L,A:A,A106,B:B,B106)</f>
        <v>0.112257136003838</v>
      </c>
    </row>
    <row r="107" customFormat="false" ht="13.8" hidden="false" customHeight="false" outlineLevel="0" collapsed="false">
      <c r="A107" s="1" t="s">
        <v>346</v>
      </c>
      <c r="B107" s="27" t="s">
        <v>216</v>
      </c>
      <c r="C107" s="1" t="s">
        <v>352</v>
      </c>
      <c r="D107" s="1" t="n">
        <v>759</v>
      </c>
      <c r="E107" s="25" t="n">
        <v>0.267</v>
      </c>
      <c r="F107" s="1" t="n">
        <v>2842</v>
      </c>
      <c r="G107" s="1" t="n">
        <v>10466</v>
      </c>
      <c r="H107" s="28" t="n">
        <f aca="false">ROUND(D107*IF(ISNUMBER(SEARCH("Labour",B107)),National!$L$4,IF(ISNUMBER(SEARCH("Conservative",B107)),National!$L$5,IF(OR(ISNUMBER(SEARCH("Reform",B107)),ISNUMBER(SEARCH("RefUK",B107))),National!$L$6,IF(ISNUMBER(SEARCH("Green",B107)),National!$L$7,IF(OR(ISNUMBER(SEARCH("Liberal Democrat",B107)),ISNUMBER(SEARCH("Lib Dem",B107))),National!$L$8,National!$L$9))))),0)</f>
        <v>300</v>
      </c>
      <c r="I107" s="25" t="n">
        <f aca="false">H107/SUMIFS(H:H,A:A,A107)</f>
        <v>0.0545058139534884</v>
      </c>
      <c r="J107" s="29" t="n">
        <f aca="false">ROUND(I107*SUMIF(A:A,A107,D:D),0)</f>
        <v>424</v>
      </c>
      <c r="K107" s="24" t="n">
        <f aca="false">ROUND(AVERAGEIFS(J:J,A:A,A107,B:B,B107)/COUNTIFS(B:B,B107,A:A,A107),0)</f>
        <v>156</v>
      </c>
      <c r="L107" s="25" t="n">
        <f aca="false">K107/SUMIF(A:A,A107,K:K)</f>
        <v>0.0374190453346126</v>
      </c>
      <c r="M107" s="1" t="n">
        <f aca="false">ROUND(SUMIF(A:A,A107,J:J)*L107,0)</f>
        <v>291</v>
      </c>
      <c r="N107" s="1" t="str">
        <f aca="false">IF(O107=1,"Yes",IF(AND(O107&gt;1,SUMIFS(L:L,B:B,"&lt;&gt;Green",A:A,A107)+5%&gt;=SUMIFS(L:L,A:A,A107,B:B,"&lt;&gt;Green",O:O,1)),"No","Yes"))</f>
        <v>No</v>
      </c>
      <c r="O107" s="1" t="n">
        <f aca="false">COUNTIFS(A:A,A107,P:P,"&gt;"&amp;P107)+1</f>
        <v>6</v>
      </c>
      <c r="P107" s="25" t="n">
        <f aca="false">SUMIFS(L:L,A:A,A107,B:B,B107)</f>
        <v>0.112257136003838</v>
      </c>
    </row>
    <row r="108" customFormat="false" ht="13.8" hidden="false" customHeight="false" outlineLevel="0" collapsed="false">
      <c r="A108" s="1" t="s">
        <v>346</v>
      </c>
      <c r="B108" s="30" t="s">
        <v>219</v>
      </c>
      <c r="C108" s="1" t="s">
        <v>353</v>
      </c>
      <c r="D108" s="1" t="n">
        <v>431</v>
      </c>
      <c r="E108" s="25" t="n">
        <v>0.152</v>
      </c>
      <c r="F108" s="1" t="n">
        <v>2842</v>
      </c>
      <c r="G108" s="1" t="n">
        <v>10466</v>
      </c>
      <c r="H108" s="28" t="n">
        <f aca="false">ROUND(D108*IF(ISNUMBER(SEARCH("Labour",B108)),National!$L$4,IF(ISNUMBER(SEARCH("Conservative",B108)),National!$L$5,IF(OR(ISNUMBER(SEARCH("Reform",B108)),ISNUMBER(SEARCH("RefUK",B108))),National!$L$6,IF(ISNUMBER(SEARCH("Green",B108)),National!$L$7,IF(OR(ISNUMBER(SEARCH("Liberal Democrat",B108)),ISNUMBER(SEARCH("Lib Dem",B108))),National!$L$8,National!$L$9))))),0)</f>
        <v>1024</v>
      </c>
      <c r="I108" s="25" t="n">
        <f aca="false">H108/SUMIFS(H:H,A:A,A108)</f>
        <v>0.186046511627907</v>
      </c>
      <c r="J108" s="29" t="n">
        <f aca="false">ROUND(I108*SUMIF(A:A,A108,D:D),0)</f>
        <v>1446</v>
      </c>
      <c r="K108" s="24" t="n">
        <f aca="false">ROUND(AVERAGEIFS(J:J,A:A,A108,B:B,B108)/COUNTIFS(B:B,B108,A:A,A108),0)</f>
        <v>1446</v>
      </c>
      <c r="L108" s="25" t="n">
        <f aca="false">K108/SUMIF(A:A,A108,K:K)</f>
        <v>0.346845766370832</v>
      </c>
      <c r="M108" s="1" t="n">
        <f aca="false">ROUND(SUMIF(A:A,A108,J:J)*L108,0)</f>
        <v>2696</v>
      </c>
      <c r="N108" s="1" t="str">
        <f aca="false">IF(O108=1,"Yes",IF(AND(O108&gt;1,SUMIFS(L:L,B:B,"&lt;&gt;Green",A:A,A108)+5%&gt;=SUMIFS(L:L,A:A,A108,B:B,"&lt;&gt;Green",O:O,1)),"No","Yes"))</f>
        <v>Yes</v>
      </c>
      <c r="O108" s="1" t="n">
        <f aca="false">COUNTIFS(A:A,A108,P:P,"&gt;"&amp;P108)+1</f>
        <v>1</v>
      </c>
      <c r="P108" s="25" t="n">
        <f aca="false">SUMIFS(L:L,A:A,A108,B:B,B108)</f>
        <v>0.346845766370832</v>
      </c>
    </row>
    <row r="109" customFormat="false" ht="13.8" hidden="false" customHeight="false" outlineLevel="0" collapsed="false">
      <c r="A109" s="1" t="s">
        <v>346</v>
      </c>
      <c r="B109" s="27" t="s">
        <v>19</v>
      </c>
      <c r="C109" s="1" t="s">
        <v>354</v>
      </c>
      <c r="D109" s="1" t="n">
        <v>337</v>
      </c>
      <c r="E109" s="25" t="n">
        <v>0.119</v>
      </c>
      <c r="F109" s="1" t="n">
        <v>2842</v>
      </c>
      <c r="G109" s="1" t="n">
        <v>10466</v>
      </c>
      <c r="H109" s="28" t="n">
        <f aca="false">ROUND(D109*IF(ISNUMBER(SEARCH("Labour",B109)),National!$L$4,IF(ISNUMBER(SEARCH("Conservative",B109)),National!$L$5,IF(OR(ISNUMBER(SEARCH("Reform",B109)),ISNUMBER(SEARCH("RefUK",B109))),National!$L$6,IF(ISNUMBER(SEARCH("Green",B109)),National!$L$7,IF(OR(ISNUMBER(SEARCH("Liberal Democrat",B109)),ISNUMBER(SEARCH("Lib Dem",B109))),National!$L$8,National!$L$9))))),0)</f>
        <v>472</v>
      </c>
      <c r="I109" s="25" t="n">
        <f aca="false">H109/SUMIFS(H:H,A:A,A109)</f>
        <v>0.0857558139534884</v>
      </c>
      <c r="J109" s="29" t="n">
        <f aca="false">ROUND(I109*SUMIF(A:A,A109,D:D),0)</f>
        <v>667</v>
      </c>
      <c r="K109" s="24" t="n">
        <f aca="false">ROUND(AVERAGEIFS(J:J,A:A,A109,B:B,B109)/COUNTIFS(B:B,B109,A:A,A109),0)</f>
        <v>667</v>
      </c>
      <c r="L109" s="25" t="n">
        <f aca="false">K109/SUMIF(A:A,A109,K:K)</f>
        <v>0.159990405372991</v>
      </c>
      <c r="M109" s="1" t="n">
        <f aca="false">ROUND(SUMIF(A:A,A109,J:J)*L109,0)</f>
        <v>1244</v>
      </c>
      <c r="N109" s="1" t="str">
        <f aca="false">IF(O109=1,"Yes",IF(AND(O109&gt;1,SUMIFS(L:L,B:B,"&lt;&gt;Green",A:A,A109)+5%&gt;=SUMIFS(L:L,A:A,A109,B:B,"&lt;&gt;Green",O:O,1)),"No","Yes"))</f>
        <v>No</v>
      </c>
      <c r="O109" s="1" t="n">
        <f aca="false">COUNTIFS(A:A,A109,P:P,"&gt;"&amp;P109)+1</f>
        <v>5</v>
      </c>
      <c r="P109" s="25" t="n">
        <f aca="false">SUMIFS(L:L,A:A,A109,B:B,B109)</f>
        <v>0.159990405372991</v>
      </c>
    </row>
    <row r="110" customFormat="false" ht="13.8" hidden="false" customHeight="false" outlineLevel="0" collapsed="false">
      <c r="A110" s="1" t="s">
        <v>346</v>
      </c>
      <c r="B110" s="27" t="s">
        <v>299</v>
      </c>
      <c r="C110" s="1" t="s">
        <v>355</v>
      </c>
      <c r="D110" s="1" t="n">
        <v>158</v>
      </c>
      <c r="E110" s="25" t="n">
        <v>0.056</v>
      </c>
      <c r="F110" s="1" t="n">
        <v>2842</v>
      </c>
      <c r="G110" s="1" t="n">
        <v>10466</v>
      </c>
      <c r="H110" s="28" t="n">
        <f aca="false">ROUND(D110*IF(ISNUMBER(SEARCH("Labour",B110)),National!$L$4,IF(ISNUMBER(SEARCH("Conservative",B110)),National!$L$5,IF(OR(ISNUMBER(SEARCH("Reform",B110)),ISNUMBER(SEARCH("RefUK",B110))),National!$L$6,IF(ISNUMBER(SEARCH("Green",B110)),National!$L$7,IF(OR(ISNUMBER(SEARCH("Liberal Democrat",B110)),ISNUMBER(SEARCH("Lib Dem",B110))),National!$L$8,National!$L$9))))),0)</f>
        <v>181</v>
      </c>
      <c r="I110" s="25" t="n">
        <f aca="false">H110/SUMIFS(H:H,A:A,A110)</f>
        <v>0.0328851744186047</v>
      </c>
      <c r="J110" s="29" t="n">
        <f aca="false">ROUND(I110*SUMIF(A:A,A110,D:D),0)</f>
        <v>256</v>
      </c>
      <c r="K110" s="24" t="n">
        <f aca="false">ROUND(AVERAGEIFS(J:J,A:A,A110,B:B,B110)/COUNTIFS(B:B,B110,A:A,A110),0)</f>
        <v>256</v>
      </c>
      <c r="L110" s="25" t="n">
        <f aca="false">K110/SUMIF(A:A,A110,K:K)</f>
        <v>0.0614056128568002</v>
      </c>
      <c r="M110" s="1" t="n">
        <f aca="false">ROUND(SUMIF(A:A,A110,J:J)*L110,0)</f>
        <v>477</v>
      </c>
      <c r="N110" s="1" t="str">
        <f aca="false">IF(O110=1,"Yes",IF(AND(O110&gt;1,SUMIFS(L:L,B:B,"&lt;&gt;Green",A:A,A110)+5%&gt;=SUMIFS(L:L,A:A,A110,B:B,"&lt;&gt;Green",O:O,1)),"No","Yes"))</f>
        <v>No</v>
      </c>
      <c r="O110" s="1" t="n">
        <f aca="false">COUNTIFS(A:A,A110,P:P,"&gt;"&amp;P110)+1</f>
        <v>9</v>
      </c>
      <c r="P110" s="25" t="n">
        <f aca="false">SUMIFS(L:L,A:A,A110,B:B,B110)</f>
        <v>0.0614056128568002</v>
      </c>
    </row>
    <row r="111" customFormat="false" ht="13.8" hidden="false" customHeight="false" outlineLevel="0" collapsed="false">
      <c r="A111" s="1" t="s">
        <v>356</v>
      </c>
      <c r="B111" s="27" t="s">
        <v>241</v>
      </c>
      <c r="C111" s="1" t="s">
        <v>357</v>
      </c>
      <c r="D111" s="1" t="n">
        <v>1177</v>
      </c>
      <c r="E111" s="25" t="n">
        <v>0.5</v>
      </c>
      <c r="F111" s="1" t="n">
        <v>2355</v>
      </c>
      <c r="G111" s="1" t="n">
        <v>7309</v>
      </c>
      <c r="H111" s="28" t="n">
        <f aca="false">ROUND(D111*IF(ISNUMBER(SEARCH("Labour",B111)),National!$L$4,IF(ISNUMBER(SEARCH("Conservative",B111)),National!$L$5,IF(OR(ISNUMBER(SEARCH("Reform",B111)),ISNUMBER(SEARCH("RefUK",B111))),National!$L$6,IF(ISNUMBER(SEARCH("Green",B111)),National!$L$7,IF(OR(ISNUMBER(SEARCH("Liberal Democrat",B111)),ISNUMBER(SEARCH("Lib Dem",B111))),National!$L$8,National!$L$9))))),0)</f>
        <v>770</v>
      </c>
      <c r="I111" s="25" t="n">
        <f aca="false">H111/SUMIFS(H:H,A:A,A111)</f>
        <v>0.220567172729877</v>
      </c>
      <c r="J111" s="29" t="n">
        <f aca="false">ROUND(I111*SUMIF(A:A,A111,D:D),0)</f>
        <v>967</v>
      </c>
      <c r="K111" s="24" t="n">
        <f aca="false">ROUND(AVERAGEIFS(J:J,A:A,A111,B:B,B111)/COUNTIFS(B:B,B111,A:A,A111),0)</f>
        <v>453</v>
      </c>
      <c r="L111" s="25" t="n">
        <f aca="false">K111/SUMIF(A:A,A111,K:K)</f>
        <v>0.154186521443159</v>
      </c>
      <c r="M111" s="1" t="n">
        <f aca="false">ROUND(SUMIF(A:A,A111,J:J)*L111,0)</f>
        <v>676</v>
      </c>
      <c r="N111" s="1" t="str">
        <f aca="false">IF(O111=1,"Yes",IF(AND(O111&gt;1,SUMIFS(L:L,B:B,"&lt;&gt;Green",A:A,A111)+5%&gt;=SUMIFS(L:L,A:A,A111,B:B,"&lt;&gt;Green",O:O,1)),"No","Yes"))</f>
        <v>No</v>
      </c>
      <c r="O111" s="1" t="n">
        <f aca="false">COUNTIFS(A:A,A111,P:P,"&gt;"&amp;P111)+1</f>
        <v>2</v>
      </c>
      <c r="P111" s="25" t="n">
        <f aca="false">SUMIFS(L:L,A:A,A111,B:B,B111)</f>
        <v>0.308373042886317</v>
      </c>
    </row>
    <row r="112" customFormat="false" ht="13.8" hidden="false" customHeight="false" outlineLevel="0" collapsed="false">
      <c r="A112" s="1" t="s">
        <v>356</v>
      </c>
      <c r="B112" s="27" t="s">
        <v>241</v>
      </c>
      <c r="C112" s="1" t="s">
        <v>358</v>
      </c>
      <c r="D112" s="1" t="n">
        <v>1027</v>
      </c>
      <c r="E112" s="25" t="n">
        <v>0.436</v>
      </c>
      <c r="F112" s="1" t="n">
        <v>2355</v>
      </c>
      <c r="G112" s="1" t="n">
        <v>7309</v>
      </c>
      <c r="H112" s="28" t="n">
        <f aca="false">ROUND(D112*IF(ISNUMBER(SEARCH("Labour",B112)),National!$L$4,IF(ISNUMBER(SEARCH("Conservative",B112)),National!$L$5,IF(OR(ISNUMBER(SEARCH("Reform",B112)),ISNUMBER(SEARCH("RefUK",B112))),National!$L$6,IF(ISNUMBER(SEARCH("Green",B112)),National!$L$7,IF(OR(ISNUMBER(SEARCH("Liberal Democrat",B112)),ISNUMBER(SEARCH("Lib Dem",B112))),National!$L$8,National!$L$9))))),0)</f>
        <v>672</v>
      </c>
      <c r="I112" s="25" t="n">
        <f aca="false">H112/SUMIFS(H:H,A:A,A112)</f>
        <v>0.192494987109711</v>
      </c>
      <c r="J112" s="29" t="n">
        <f aca="false">ROUND(I112*SUMIF(A:A,A112,D:D),0)</f>
        <v>844</v>
      </c>
      <c r="K112" s="24" t="n">
        <f aca="false">ROUND(AVERAGEIFS(J:J,A:A,A112,B:B,B112)/COUNTIFS(B:B,B112,A:A,A112),0)</f>
        <v>453</v>
      </c>
      <c r="L112" s="25" t="n">
        <f aca="false">K112/SUMIF(A:A,A112,K:K)</f>
        <v>0.154186521443159</v>
      </c>
      <c r="M112" s="1" t="n">
        <f aca="false">ROUND(SUMIF(A:A,A112,J:J)*L112,0)</f>
        <v>676</v>
      </c>
      <c r="N112" s="1" t="str">
        <f aca="false">IF(O112=1,"Yes",IF(AND(O112&gt;1,SUMIFS(L:L,B:B,"&lt;&gt;Green",A:A,A112)+5%&gt;=SUMIFS(L:L,A:A,A112,B:B,"&lt;&gt;Green",O:O,1)),"No","Yes"))</f>
        <v>No</v>
      </c>
      <c r="O112" s="1" t="n">
        <f aca="false">COUNTIFS(A:A,A112,P:P,"&gt;"&amp;P112)+1</f>
        <v>2</v>
      </c>
      <c r="P112" s="25" t="n">
        <f aca="false">SUMIFS(L:L,A:A,A112,B:B,B112)</f>
        <v>0.308373042886317</v>
      </c>
    </row>
    <row r="113" customFormat="false" ht="13.8" hidden="false" customHeight="false" outlineLevel="0" collapsed="false">
      <c r="A113" s="1" t="s">
        <v>356</v>
      </c>
      <c r="B113" s="27" t="s">
        <v>216</v>
      </c>
      <c r="C113" s="1" t="s">
        <v>359</v>
      </c>
      <c r="D113" s="1" t="n">
        <v>750</v>
      </c>
      <c r="E113" s="25" t="n">
        <v>0.318</v>
      </c>
      <c r="F113" s="1" t="n">
        <v>2355</v>
      </c>
      <c r="G113" s="1" t="n">
        <v>7309</v>
      </c>
      <c r="H113" s="28" t="n">
        <f aca="false">ROUND(D113*IF(ISNUMBER(SEARCH("Labour",B113)),National!$L$4,IF(ISNUMBER(SEARCH("Conservative",B113)),National!$L$5,IF(OR(ISNUMBER(SEARCH("Reform",B113)),ISNUMBER(SEARCH("RefUK",B113))),National!$L$6,IF(ISNUMBER(SEARCH("Green",B113)),National!$L$7,IF(OR(ISNUMBER(SEARCH("Liberal Democrat",B113)),ISNUMBER(SEARCH("Lib Dem",B113))),National!$L$8,National!$L$9))))),0)</f>
        <v>297</v>
      </c>
      <c r="I113" s="25" t="n">
        <f aca="false">H113/SUMIFS(H:H,A:A,A113)</f>
        <v>0.0850759094815239</v>
      </c>
      <c r="J113" s="29" t="n">
        <f aca="false">ROUND(I113*SUMIF(A:A,A113,D:D),0)</f>
        <v>373</v>
      </c>
      <c r="K113" s="24" t="n">
        <f aca="false">ROUND(AVERAGEIFS(J:J,A:A,A113,B:B,B113)/COUNTIFS(B:B,B113,A:A,A113),0)</f>
        <v>155</v>
      </c>
      <c r="L113" s="25" t="n">
        <f aca="false">K113/SUMIF(A:A,A113,K:K)</f>
        <v>0.0527569775357386</v>
      </c>
      <c r="M113" s="1" t="n">
        <f aca="false">ROUND(SUMIF(A:A,A113,J:J)*L113,0)</f>
        <v>231</v>
      </c>
      <c r="N113" s="1" t="str">
        <f aca="false">IF(O113=1,"Yes",IF(AND(O113&gt;1,SUMIFS(L:L,B:B,"&lt;&gt;Green",A:A,A113)+5%&gt;=SUMIFS(L:L,A:A,A113,B:B,"&lt;&gt;Green",O:O,1)),"No","Yes"))</f>
        <v>No</v>
      </c>
      <c r="O113" s="1" t="n">
        <f aca="false">COUNTIFS(A:A,A113,P:P,"&gt;"&amp;P113)+1</f>
        <v>5</v>
      </c>
      <c r="P113" s="25" t="n">
        <f aca="false">SUMIFS(L:L,A:A,A113,B:B,B113)</f>
        <v>0.105513955071477</v>
      </c>
    </row>
    <row r="114" customFormat="false" ht="13.8" hidden="false" customHeight="false" outlineLevel="0" collapsed="false">
      <c r="A114" s="1" t="s">
        <v>356</v>
      </c>
      <c r="B114" s="27" t="s">
        <v>216</v>
      </c>
      <c r="C114" s="1" t="s">
        <v>360</v>
      </c>
      <c r="D114" s="1" t="n">
        <v>498</v>
      </c>
      <c r="E114" s="25" t="n">
        <v>0.211</v>
      </c>
      <c r="F114" s="1" t="n">
        <v>2355</v>
      </c>
      <c r="G114" s="1" t="n">
        <v>7309</v>
      </c>
      <c r="H114" s="28" t="n">
        <f aca="false">ROUND(D114*IF(ISNUMBER(SEARCH("Labour",B114)),National!$L$4,IF(ISNUMBER(SEARCH("Conservative",B114)),National!$L$5,IF(OR(ISNUMBER(SEARCH("Reform",B114)),ISNUMBER(SEARCH("RefUK",B114))),National!$L$6,IF(ISNUMBER(SEARCH("Green",B114)),National!$L$7,IF(OR(ISNUMBER(SEARCH("Liberal Democrat",B114)),ISNUMBER(SEARCH("Lib Dem",B114))),National!$L$8,National!$L$9))))),0)</f>
        <v>197</v>
      </c>
      <c r="I114" s="25" t="n">
        <f aca="false">H114/SUMIFS(H:H,A:A,A114)</f>
        <v>0.0564308221140075</v>
      </c>
      <c r="J114" s="29" t="n">
        <f aca="false">ROUND(I114*SUMIF(A:A,A114,D:D),0)</f>
        <v>247</v>
      </c>
      <c r="K114" s="24" t="n">
        <f aca="false">ROUND(AVERAGEIFS(J:J,A:A,A114,B:B,B114)/COUNTIFS(B:B,B114,A:A,A114),0)</f>
        <v>155</v>
      </c>
      <c r="L114" s="25" t="n">
        <f aca="false">K114/SUMIF(A:A,A114,K:K)</f>
        <v>0.0527569775357386</v>
      </c>
      <c r="M114" s="1" t="n">
        <f aca="false">ROUND(SUMIF(A:A,A114,J:J)*L114,0)</f>
        <v>231</v>
      </c>
      <c r="N114" s="1" t="str">
        <f aca="false">IF(O114=1,"Yes",IF(AND(O114&gt;1,SUMIFS(L:L,B:B,"&lt;&gt;Green",A:A,A114)+5%&gt;=SUMIFS(L:L,A:A,A114,B:B,"&lt;&gt;Green",O:O,1)),"No","Yes"))</f>
        <v>No</v>
      </c>
      <c r="O114" s="1" t="n">
        <f aca="false">COUNTIFS(A:A,A114,P:P,"&gt;"&amp;P114)+1</f>
        <v>5</v>
      </c>
      <c r="P114" s="25" t="n">
        <f aca="false">SUMIFS(L:L,A:A,A114,B:B,B114)</f>
        <v>0.105513955071477</v>
      </c>
    </row>
    <row r="115" customFormat="false" ht="13.8" hidden="false" customHeight="false" outlineLevel="0" collapsed="false">
      <c r="A115" s="1" t="s">
        <v>356</v>
      </c>
      <c r="B115" s="30" t="s">
        <v>219</v>
      </c>
      <c r="C115" s="1" t="s">
        <v>361</v>
      </c>
      <c r="D115" s="1" t="n">
        <v>341</v>
      </c>
      <c r="E115" s="25" t="n">
        <v>0.145</v>
      </c>
      <c r="F115" s="1" t="n">
        <v>2355</v>
      </c>
      <c r="G115" s="1" t="n">
        <v>7309</v>
      </c>
      <c r="H115" s="28" t="n">
        <f aca="false">ROUND(D115*IF(ISNUMBER(SEARCH("Labour",B115)),National!$L$4,IF(ISNUMBER(SEARCH("Conservative",B115)),National!$L$5,IF(OR(ISNUMBER(SEARCH("Reform",B115)),ISNUMBER(SEARCH("RefUK",B115))),National!$L$6,IF(ISNUMBER(SEARCH("Green",B115)),National!$L$7,IF(OR(ISNUMBER(SEARCH("Liberal Democrat",B115)),ISNUMBER(SEARCH("Lib Dem",B115))),National!$L$8,National!$L$9))))),0)</f>
        <v>810</v>
      </c>
      <c r="I115" s="25" t="n">
        <f aca="false">H115/SUMIFS(H:H,A:A,A115)</f>
        <v>0.232025207676883</v>
      </c>
      <c r="J115" s="29" t="n">
        <f aca="false">ROUND(I115*SUMIF(A:A,A115,D:D),0)</f>
        <v>1017</v>
      </c>
      <c r="K115" s="24" t="n">
        <f aca="false">ROUND(AVERAGEIFS(J:J,A:A,A115,B:B,B115)/COUNTIFS(B:B,B115,A:A,A115),0)</f>
        <v>1017</v>
      </c>
      <c r="L115" s="25" t="n">
        <f aca="false">K115/SUMIF(A:A,A115,K:K)</f>
        <v>0.346153846153846</v>
      </c>
      <c r="M115" s="1" t="n">
        <f aca="false">ROUND(SUMIF(A:A,A115,J:J)*L115,0)</f>
        <v>1517</v>
      </c>
      <c r="N115" s="1" t="str">
        <f aca="false">IF(O115=1,"Yes",IF(AND(O115&gt;1,SUMIFS(L:L,B:B,"&lt;&gt;Green",A:A,A115)+5%&gt;=SUMIFS(L:L,A:A,A115,B:B,"&lt;&gt;Green",O:O,1)),"No","Yes"))</f>
        <v>Yes</v>
      </c>
      <c r="O115" s="1" t="n">
        <f aca="false">COUNTIFS(A:A,A115,P:P,"&gt;"&amp;P115)+1</f>
        <v>1</v>
      </c>
      <c r="P115" s="25" t="n">
        <f aca="false">SUMIFS(L:L,A:A,A115,B:B,B115)</f>
        <v>0.346153846153846</v>
      </c>
    </row>
    <row r="116" customFormat="false" ht="13.8" hidden="false" customHeight="false" outlineLevel="0" collapsed="false">
      <c r="A116" s="1" t="s">
        <v>356</v>
      </c>
      <c r="B116" s="27" t="s">
        <v>19</v>
      </c>
      <c r="C116" s="1" t="s">
        <v>362</v>
      </c>
      <c r="D116" s="1" t="n">
        <v>269</v>
      </c>
      <c r="E116" s="25" t="n">
        <v>0.114</v>
      </c>
      <c r="F116" s="1" t="n">
        <v>2355</v>
      </c>
      <c r="G116" s="1" t="n">
        <v>7309</v>
      </c>
      <c r="H116" s="28" t="n">
        <f aca="false">ROUND(D116*IF(ISNUMBER(SEARCH("Labour",B116)),National!$L$4,IF(ISNUMBER(SEARCH("Conservative",B116)),National!$L$5,IF(OR(ISNUMBER(SEARCH("Reform",B116)),ISNUMBER(SEARCH("RefUK",B116))),National!$L$6,IF(ISNUMBER(SEARCH("Green",B116)),National!$L$7,IF(OR(ISNUMBER(SEARCH("Liberal Democrat",B116)),ISNUMBER(SEARCH("Lib Dem",B116))),National!$L$8,National!$L$9))))),0)</f>
        <v>377</v>
      </c>
      <c r="I116" s="25" t="n">
        <f aca="false">H116/SUMIFS(H:H,A:A,A116)</f>
        <v>0.107991979375537</v>
      </c>
      <c r="J116" s="29" t="n">
        <f aca="false">ROUND(I116*SUMIF(A:A,A116,D:D),0)</f>
        <v>473</v>
      </c>
      <c r="K116" s="24" t="n">
        <f aca="false">ROUND(AVERAGEIFS(J:J,A:A,A116,B:B,B116)/COUNTIFS(B:B,B116,A:A,A116),0)</f>
        <v>473</v>
      </c>
      <c r="L116" s="25" t="n">
        <f aca="false">K116/SUMIF(A:A,A116,K:K)</f>
        <v>0.160993873383254</v>
      </c>
      <c r="M116" s="1" t="n">
        <f aca="false">ROUND(SUMIF(A:A,A116,J:J)*L116,0)</f>
        <v>706</v>
      </c>
      <c r="N116" s="1" t="str">
        <f aca="false">IF(O116=1,"Yes",IF(AND(O116&gt;1,SUMIFS(L:L,B:B,"&lt;&gt;Green",A:A,A116)+5%&gt;=SUMIFS(L:L,A:A,A116,B:B,"&lt;&gt;Green",O:O,1)),"No","Yes"))</f>
        <v>No</v>
      </c>
      <c r="O116" s="1" t="n">
        <f aca="false">COUNTIFS(A:A,A116,P:P,"&gt;"&amp;P116)+1</f>
        <v>4</v>
      </c>
      <c r="P116" s="25" t="n">
        <f aca="false">SUMIFS(L:L,A:A,A116,B:B,B116)</f>
        <v>0.160993873383254</v>
      </c>
    </row>
    <row r="117" customFormat="false" ht="13.8" hidden="false" customHeight="false" outlineLevel="0" collapsed="false">
      <c r="A117" s="1" t="s">
        <v>356</v>
      </c>
      <c r="B117" s="27" t="s">
        <v>23</v>
      </c>
      <c r="C117" s="1" t="s">
        <v>363</v>
      </c>
      <c r="D117" s="1" t="n">
        <v>226</v>
      </c>
      <c r="E117" s="25" t="n">
        <v>0.096</v>
      </c>
      <c r="F117" s="1" t="n">
        <v>2355</v>
      </c>
      <c r="G117" s="1" t="n">
        <v>7309</v>
      </c>
      <c r="H117" s="28" t="n">
        <f aca="false">ROUND(D117*IF(ISNUMBER(SEARCH("Labour",B117)),National!$L$4,IF(ISNUMBER(SEARCH("Conservative",B117)),National!$L$5,IF(OR(ISNUMBER(SEARCH("Reform",B117)),ISNUMBER(SEARCH("RefUK",B117))),National!$L$6,IF(ISNUMBER(SEARCH("Green",B117)),National!$L$7,IF(OR(ISNUMBER(SEARCH("Liberal Democrat",B117)),ISNUMBER(SEARCH("Lib Dem",B117))),National!$L$8,National!$L$9))))),0)</f>
        <v>258</v>
      </c>
      <c r="I117" s="25" t="n">
        <f aca="false">H117/SUMIFS(H:H,A:A,A117)</f>
        <v>0.0739043254081925</v>
      </c>
      <c r="J117" s="29" t="n">
        <f aca="false">ROUND(I117*SUMIF(A:A,A117,D:D),0)</f>
        <v>324</v>
      </c>
      <c r="K117" s="24" t="n">
        <f aca="false">ROUND(AVERAGEIFS(J:J,A:A,A117,B:B,B117)/COUNTIFS(B:B,B117,A:A,A117),0)</f>
        <v>116</v>
      </c>
      <c r="L117" s="25" t="n">
        <f aca="false">K117/SUMIF(A:A,A117,K:K)</f>
        <v>0.0394826412525528</v>
      </c>
      <c r="M117" s="1" t="n">
        <f aca="false">ROUND(SUMIF(A:A,A117,J:J)*L117,0)</f>
        <v>173</v>
      </c>
      <c r="N117" s="1" t="str">
        <f aca="false">IF(O117=1,"Yes",IF(AND(O117&gt;1,SUMIFS(L:L,B:B,"&lt;&gt;Green",A:A,A117)+5%&gt;=SUMIFS(L:L,A:A,A117,B:B,"&lt;&gt;Green",O:O,1)),"No","Yes"))</f>
        <v>No</v>
      </c>
      <c r="O117" s="1" t="n">
        <f aca="false">COUNTIFS(A:A,A117,P:P,"&gt;"&amp;P117)+1</f>
        <v>7</v>
      </c>
      <c r="P117" s="25" t="n">
        <f aca="false">SUMIFS(L:L,A:A,A117,B:B,B117)</f>
        <v>0.0789652825051055</v>
      </c>
    </row>
    <row r="118" customFormat="false" ht="13.8" hidden="false" customHeight="false" outlineLevel="0" collapsed="false">
      <c r="A118" s="1" t="s">
        <v>356</v>
      </c>
      <c r="B118" s="27" t="s">
        <v>23</v>
      </c>
      <c r="C118" s="1" t="s">
        <v>364</v>
      </c>
      <c r="D118" s="1" t="n">
        <v>96</v>
      </c>
      <c r="E118" s="25" t="n">
        <v>0.041</v>
      </c>
      <c r="F118" s="1" t="n">
        <v>2355</v>
      </c>
      <c r="G118" s="1" t="n">
        <v>7309</v>
      </c>
      <c r="H118" s="28" t="n">
        <f aca="false">ROUND(D118*IF(ISNUMBER(SEARCH("Labour",B118)),National!$L$4,IF(ISNUMBER(SEARCH("Conservative",B118)),National!$L$5,IF(OR(ISNUMBER(SEARCH("Reform",B118)),ISNUMBER(SEARCH("RefUK",B118))),National!$L$6,IF(ISNUMBER(SEARCH("Green",B118)),National!$L$7,IF(OR(ISNUMBER(SEARCH("Liberal Democrat",B118)),ISNUMBER(SEARCH("Lib Dem",B118))),National!$L$8,National!$L$9))))),0)</f>
        <v>110</v>
      </c>
      <c r="I118" s="25" t="n">
        <f aca="false">H118/SUMIFS(H:H,A:A,A118)</f>
        <v>0.0315095961042681</v>
      </c>
      <c r="J118" s="29" t="n">
        <f aca="false">ROUND(I118*SUMIF(A:A,A118,D:D),0)</f>
        <v>138</v>
      </c>
      <c r="K118" s="24" t="n">
        <f aca="false">ROUND(AVERAGEIFS(J:J,A:A,A118,B:B,B118)/COUNTIFS(B:B,B118,A:A,A118),0)</f>
        <v>116</v>
      </c>
      <c r="L118" s="25" t="n">
        <f aca="false">K118/SUMIF(A:A,A118,K:K)</f>
        <v>0.0394826412525528</v>
      </c>
      <c r="M118" s="1" t="n">
        <f aca="false">ROUND(SUMIF(A:A,A118,J:J)*L118,0)</f>
        <v>173</v>
      </c>
      <c r="N118" s="1" t="str">
        <f aca="false">IF(O118=1,"Yes",IF(AND(O118&gt;1,SUMIFS(L:L,B:B,"&lt;&gt;Green",A:A,A118)+5%&gt;=SUMIFS(L:L,A:A,A118,B:B,"&lt;&gt;Green",O:O,1)),"No","Yes"))</f>
        <v>No</v>
      </c>
      <c r="O118" s="1" t="n">
        <f aca="false">COUNTIFS(A:A,A118,P:P,"&gt;"&amp;P118)+1</f>
        <v>7</v>
      </c>
      <c r="P118" s="25" t="n">
        <f aca="false">SUMIFS(L:L,A:A,A118,B:B,B118)</f>
        <v>0.0789652825051055</v>
      </c>
    </row>
    <row r="119" customFormat="false" ht="13.8" hidden="false" customHeight="false" outlineLevel="0" collapsed="false">
      <c r="A119" s="1" t="s">
        <v>365</v>
      </c>
      <c r="B119" s="27" t="s">
        <v>249</v>
      </c>
      <c r="C119" s="1" t="s">
        <v>366</v>
      </c>
      <c r="D119" s="1" t="n">
        <v>1658</v>
      </c>
      <c r="E119" s="25" t="n">
        <v>0.629</v>
      </c>
      <c r="F119" s="1" t="n">
        <v>2636</v>
      </c>
      <c r="G119" s="1" t="n">
        <v>9363</v>
      </c>
      <c r="H119" s="28" t="n">
        <f aca="false">ROUND(D119*IF(ISNUMBER(SEARCH("Labour",B119)),National!$L$4,IF(ISNUMBER(SEARCH("Conservative",B119)),National!$L$5,IF(OR(ISNUMBER(SEARCH("Reform",B119)),ISNUMBER(SEARCH("RefUK",B119))),National!$L$6,IF(ISNUMBER(SEARCH("Green",B119)),National!$L$7,IF(OR(ISNUMBER(SEARCH("Liberal Democrat",B119)),ISNUMBER(SEARCH("Lib Dem",B119))),National!$L$8,National!$L$9))))),0)</f>
        <v>655</v>
      </c>
      <c r="I119" s="25" t="n">
        <f aca="false">H119/SUMIFS(H:H,A:A,A119)</f>
        <v>0.148965203547874</v>
      </c>
      <c r="J119" s="29" t="n">
        <f aca="false">ROUND(I119*SUMIF(A:A,A119,D:D),0)</f>
        <v>1088</v>
      </c>
      <c r="K119" s="24" t="n">
        <f aca="false">ROUND(AVERAGEIFS(J:J,A:A,A119,B:B,B119)/COUNTIFS(B:B,B119,A:A,A119),0)</f>
        <v>330</v>
      </c>
      <c r="L119" s="25" t="n">
        <f aca="false">K119/SUMIF(A:A,A119,K:K)</f>
        <v>0.0885668276972625</v>
      </c>
      <c r="M119" s="1" t="n">
        <f aca="false">ROUND(SUMIF(A:A,A119,J:J)*L119,0)</f>
        <v>647</v>
      </c>
      <c r="N119" s="1" t="str">
        <f aca="false">IF(O119=1,"Yes",IF(AND(O119&gt;1,SUMIFS(L:L,B:B,"&lt;&gt;Green",A:A,A119)+5%&gt;=SUMIFS(L:L,A:A,A119,B:B,"&lt;&gt;Green",O:O,1)),"No","Yes"))</f>
        <v>No</v>
      </c>
      <c r="O119" s="1" t="n">
        <f aca="false">COUNTIFS(A:A,A119,P:P,"&gt;"&amp;P119)+1</f>
        <v>2</v>
      </c>
      <c r="P119" s="25" t="n">
        <f aca="false">SUMIFS(L:L,A:A,A119,B:B,B119)</f>
        <v>0.265700483091787</v>
      </c>
    </row>
    <row r="120" customFormat="false" ht="13.8" hidden="false" customHeight="false" outlineLevel="0" collapsed="false">
      <c r="A120" s="1" t="s">
        <v>365</v>
      </c>
      <c r="B120" s="27" t="s">
        <v>249</v>
      </c>
      <c r="C120" s="31" t="s">
        <v>367</v>
      </c>
      <c r="D120" s="1" t="n">
        <v>1517</v>
      </c>
      <c r="E120" s="25" t="n">
        <v>0.575</v>
      </c>
      <c r="F120" s="1" t="n">
        <v>2636</v>
      </c>
      <c r="G120" s="1" t="n">
        <v>9363</v>
      </c>
      <c r="H120" s="28" t="n">
        <f aca="false">ROUND(D120*IF(ISNUMBER(SEARCH("Labour",B120)),National!$L$4,IF(ISNUMBER(SEARCH("Conservative",B120)),National!$L$5,IF(OR(ISNUMBER(SEARCH("Reform",B120)),ISNUMBER(SEARCH("RefUK",B120))),National!$L$6,IF(ISNUMBER(SEARCH("Green",B120)),National!$L$7,IF(OR(ISNUMBER(SEARCH("Liberal Democrat",B120)),ISNUMBER(SEARCH("Lib Dem",B120))),National!$L$8,National!$L$9))))),0)</f>
        <v>600</v>
      </c>
      <c r="I120" s="25" t="n">
        <f aca="false">H120/SUMIFS(H:H,A:A,A120)</f>
        <v>0.136456675005686</v>
      </c>
      <c r="J120" s="29" t="n">
        <f aca="false">ROUND(I120*SUMIF(A:A,A120,D:D),0)</f>
        <v>996</v>
      </c>
      <c r="K120" s="24" t="n">
        <f aca="false">ROUND(AVERAGEIFS(J:J,A:A,A120,B:B,B120)/COUNTIFS(B:B,B120,A:A,A120),0)</f>
        <v>330</v>
      </c>
      <c r="L120" s="25" t="n">
        <f aca="false">K120/SUMIF(A:A,A120,K:K)</f>
        <v>0.0885668276972625</v>
      </c>
      <c r="M120" s="1" t="n">
        <f aca="false">ROUND(SUMIF(A:A,A120,J:J)*L120,0)</f>
        <v>647</v>
      </c>
      <c r="N120" s="1" t="str">
        <f aca="false">IF(O120=1,"Yes",IF(AND(O120&gt;1,SUMIFS(L:L,B:B,"&lt;&gt;Green",A:A,A120)+5%&gt;=SUMIFS(L:L,A:A,A120,B:B,"&lt;&gt;Green",O:O,1)),"No","Yes"))</f>
        <v>No</v>
      </c>
      <c r="O120" s="1" t="n">
        <f aca="false">COUNTIFS(A:A,A120,P:P,"&gt;"&amp;P120)+1</f>
        <v>2</v>
      </c>
      <c r="P120" s="25" t="n">
        <f aca="false">SUMIFS(L:L,A:A,A120,B:B,B120)</f>
        <v>0.265700483091787</v>
      </c>
    </row>
    <row r="121" customFormat="false" ht="18.75" hidden="false" customHeight="false" outlineLevel="0" collapsed="false">
      <c r="A121" s="1" t="s">
        <v>365</v>
      </c>
      <c r="B121" s="27" t="s">
        <v>249</v>
      </c>
      <c r="C121" s="32" t="s">
        <v>368</v>
      </c>
      <c r="D121" s="1" t="n">
        <v>1347</v>
      </c>
      <c r="E121" s="25" t="n">
        <v>0.511</v>
      </c>
      <c r="F121" s="1" t="n">
        <v>2636</v>
      </c>
      <c r="G121" s="1" t="n">
        <v>9363</v>
      </c>
      <c r="H121" s="28" t="n">
        <f aca="false">ROUND(D121*IF(ISNUMBER(SEARCH("Labour",B121)),National!$L$4,IF(ISNUMBER(SEARCH("Conservative",B121)),National!$L$5,IF(OR(ISNUMBER(SEARCH("Reform",B121)),ISNUMBER(SEARCH("RefUK",B121))),National!$L$6,IF(ISNUMBER(SEARCH("Green",B121)),National!$L$7,IF(OR(ISNUMBER(SEARCH("Liberal Democrat",B121)),ISNUMBER(SEARCH("Lib Dem",B121))),National!$L$8,National!$L$9))))),0)</f>
        <v>533</v>
      </c>
      <c r="I121" s="25" t="n">
        <f aca="false">H121/SUMIFS(H:H,A:A,A121)</f>
        <v>0.121219012963384</v>
      </c>
      <c r="J121" s="29" t="n">
        <f aca="false">ROUND(I121*SUMIF(A:A,A121,D:D),0)</f>
        <v>885</v>
      </c>
      <c r="K121" s="24" t="n">
        <f aca="false">ROUND(AVERAGEIFS(J:J,A:A,A121,B:B,B121)/COUNTIFS(B:B,B121,A:A,A121),0)</f>
        <v>330</v>
      </c>
      <c r="L121" s="25" t="n">
        <f aca="false">K121/SUMIF(A:A,A121,K:K)</f>
        <v>0.0885668276972625</v>
      </c>
      <c r="M121" s="1" t="n">
        <f aca="false">ROUND(SUMIF(A:A,A121,J:J)*L121,0)</f>
        <v>647</v>
      </c>
      <c r="N121" s="1" t="str">
        <f aca="false">IF(O121=1,"Yes",IF(AND(O121&gt;1,SUMIFS(L:L,B:B,"&lt;&gt;Green",A:A,A121)+5%&gt;=SUMIFS(L:L,A:A,A121,B:B,"&lt;&gt;Green",O:O,1)),"No","Yes"))</f>
        <v>No</v>
      </c>
      <c r="O121" s="1" t="n">
        <f aca="false">COUNTIFS(A:A,A121,P:P,"&gt;"&amp;P121)+1</f>
        <v>2</v>
      </c>
      <c r="P121" s="25" t="n">
        <f aca="false">SUMIFS(L:L,A:A,A121,B:B,B121)</f>
        <v>0.265700483091787</v>
      </c>
    </row>
    <row r="122" customFormat="false" ht="13.8" hidden="false" customHeight="false" outlineLevel="0" collapsed="false">
      <c r="A122" s="1" t="s">
        <v>365</v>
      </c>
      <c r="B122" s="27" t="s">
        <v>241</v>
      </c>
      <c r="C122" s="1" t="s">
        <v>369</v>
      </c>
      <c r="D122" s="1" t="n">
        <v>784</v>
      </c>
      <c r="E122" s="25" t="n">
        <v>0.297</v>
      </c>
      <c r="F122" s="1" t="n">
        <v>2636</v>
      </c>
      <c r="G122" s="1" t="n">
        <v>9363</v>
      </c>
      <c r="H122" s="28" t="n">
        <f aca="false">ROUND(D122*IF(ISNUMBER(SEARCH("Labour",B122)),National!$L$4,IF(ISNUMBER(SEARCH("Conservative",B122)),National!$L$5,IF(OR(ISNUMBER(SEARCH("Reform",B122)),ISNUMBER(SEARCH("RefUK",B122))),National!$L$6,IF(ISNUMBER(SEARCH("Green",B122)),National!$L$7,IF(OR(ISNUMBER(SEARCH("Liberal Democrat",B122)),ISNUMBER(SEARCH("Lib Dem",B122))),National!$L$8,National!$L$9))))),0)</f>
        <v>513</v>
      </c>
      <c r="I122" s="25" t="n">
        <f aca="false">H122/SUMIFS(H:H,A:A,A122)</f>
        <v>0.116670457129861</v>
      </c>
      <c r="J122" s="29" t="n">
        <f aca="false">ROUND(I122*SUMIF(A:A,A122,D:D),0)</f>
        <v>852</v>
      </c>
      <c r="K122" s="24" t="n">
        <f aca="false">ROUND(AVERAGEIFS(J:J,A:A,A122,B:B,B122)/COUNTIFS(B:B,B122,A:A,A122),0)</f>
        <v>266</v>
      </c>
      <c r="L122" s="25" t="n">
        <f aca="false">K122/SUMIF(A:A,A122,K:K)</f>
        <v>0.0713902308105207</v>
      </c>
      <c r="M122" s="1" t="n">
        <f aca="false">ROUND(SUMIF(A:A,A122,J:J)*L122,0)</f>
        <v>521</v>
      </c>
      <c r="N122" s="1" t="str">
        <f aca="false">IF(O122=1,"Yes",IF(AND(O122&gt;1,SUMIFS(L:L,B:B,"&lt;&gt;Green",A:A,A122)+5%&gt;=SUMIFS(L:L,A:A,A122,B:B,"&lt;&gt;Green",O:O,1)),"No","Yes"))</f>
        <v>No</v>
      </c>
      <c r="O122" s="1" t="n">
        <f aca="false">COUNTIFS(A:A,A122,P:P,"&gt;"&amp;P122)+1</f>
        <v>5</v>
      </c>
      <c r="P122" s="25" t="n">
        <f aca="false">SUMIFS(L:L,A:A,A122,B:B,B122)</f>
        <v>0.214170692431562</v>
      </c>
    </row>
    <row r="123" customFormat="false" ht="13.8" hidden="false" customHeight="false" outlineLevel="0" collapsed="false">
      <c r="A123" s="1" t="s">
        <v>365</v>
      </c>
      <c r="B123" s="27" t="s">
        <v>241</v>
      </c>
      <c r="C123" s="1" t="s">
        <v>370</v>
      </c>
      <c r="D123" s="1" t="n">
        <v>755</v>
      </c>
      <c r="E123" s="25" t="n">
        <v>0.286</v>
      </c>
      <c r="F123" s="1" t="n">
        <v>2636</v>
      </c>
      <c r="G123" s="1" t="n">
        <v>9363</v>
      </c>
      <c r="H123" s="28" t="n">
        <f aca="false">ROUND(D123*IF(ISNUMBER(SEARCH("Labour",B123)),National!$L$4,IF(ISNUMBER(SEARCH("Conservative",B123)),National!$L$5,IF(OR(ISNUMBER(SEARCH("Reform",B123)),ISNUMBER(SEARCH("RefUK",B123))),National!$L$6,IF(ISNUMBER(SEARCH("Green",B123)),National!$L$7,IF(OR(ISNUMBER(SEARCH("Liberal Democrat",B123)),ISNUMBER(SEARCH("Lib Dem",B123))),National!$L$8,National!$L$9))))),0)</f>
        <v>494</v>
      </c>
      <c r="I123" s="25" t="n">
        <f aca="false">H123/SUMIFS(H:H,A:A,A123)</f>
        <v>0.112349329088015</v>
      </c>
      <c r="J123" s="29" t="n">
        <f aca="false">ROUND(I123*SUMIF(A:A,A123,D:D),0)</f>
        <v>820</v>
      </c>
      <c r="K123" s="24" t="n">
        <f aca="false">ROUND(AVERAGEIFS(J:J,A:A,A123,B:B,B123)/COUNTIFS(B:B,B123,A:A,A123),0)</f>
        <v>266</v>
      </c>
      <c r="L123" s="25" t="n">
        <f aca="false">K123/SUMIF(A:A,A123,K:K)</f>
        <v>0.0713902308105207</v>
      </c>
      <c r="M123" s="1" t="n">
        <f aca="false">ROUND(SUMIF(A:A,A123,J:J)*L123,0)</f>
        <v>521</v>
      </c>
      <c r="N123" s="1" t="str">
        <f aca="false">IF(O123=1,"Yes",IF(AND(O123&gt;1,SUMIFS(L:L,B:B,"&lt;&gt;Green",A:A,A123)+5%&gt;=SUMIFS(L:L,A:A,A123,B:B,"&lt;&gt;Green",O:O,1)),"No","Yes"))</f>
        <v>No</v>
      </c>
      <c r="O123" s="1" t="n">
        <f aca="false">COUNTIFS(A:A,A123,P:P,"&gt;"&amp;P123)+1</f>
        <v>5</v>
      </c>
      <c r="P123" s="25" t="n">
        <f aca="false">SUMIFS(L:L,A:A,A123,B:B,B123)</f>
        <v>0.214170692431562</v>
      </c>
    </row>
    <row r="124" customFormat="false" ht="13.8" hidden="false" customHeight="false" outlineLevel="0" collapsed="false">
      <c r="A124" s="1" t="s">
        <v>365</v>
      </c>
      <c r="B124" s="27" t="s">
        <v>241</v>
      </c>
      <c r="C124" s="1" t="s">
        <v>146</v>
      </c>
      <c r="D124" s="1" t="n">
        <v>665</v>
      </c>
      <c r="E124" s="25" t="n">
        <v>0.252</v>
      </c>
      <c r="F124" s="1" t="n">
        <v>2636</v>
      </c>
      <c r="G124" s="1" t="n">
        <v>9363</v>
      </c>
      <c r="H124" s="28" t="n">
        <f aca="false">ROUND(D124*IF(ISNUMBER(SEARCH("Labour",B124)),National!$L$4,IF(ISNUMBER(SEARCH("Conservative",B124)),National!$L$5,IF(OR(ISNUMBER(SEARCH("Reform",B124)),ISNUMBER(SEARCH("RefUK",B124))),National!$L$6,IF(ISNUMBER(SEARCH("Green",B124)),National!$L$7,IF(OR(ISNUMBER(SEARCH("Liberal Democrat",B124)),ISNUMBER(SEARCH("Lib Dem",B124))),National!$L$8,National!$L$9))))),0)</f>
        <v>435</v>
      </c>
      <c r="I124" s="25" t="n">
        <f aca="false">H124/SUMIFS(H:H,A:A,A124)</f>
        <v>0.0989310893791221</v>
      </c>
      <c r="J124" s="29" t="n">
        <f aca="false">ROUND(I124*SUMIF(A:A,A124,D:D),0)</f>
        <v>722</v>
      </c>
      <c r="K124" s="24" t="n">
        <f aca="false">ROUND(AVERAGEIFS(J:J,A:A,A124,B:B,B124)/COUNTIFS(B:B,B124,A:A,A124),0)</f>
        <v>266</v>
      </c>
      <c r="L124" s="25" t="n">
        <f aca="false">K124/SUMIF(A:A,A124,K:K)</f>
        <v>0.0713902308105207</v>
      </c>
      <c r="M124" s="1" t="n">
        <f aca="false">ROUND(SUMIF(A:A,A124,J:J)*L124,0)</f>
        <v>521</v>
      </c>
      <c r="N124" s="1" t="str">
        <f aca="false">IF(O124=1,"Yes",IF(AND(O124&gt;1,SUMIFS(L:L,B:B,"&lt;&gt;Green",A:A,A124)+5%&gt;=SUMIFS(L:L,A:A,A124,B:B,"&lt;&gt;Green",O:O,1)),"No","Yes"))</f>
        <v>No</v>
      </c>
      <c r="O124" s="1" t="n">
        <f aca="false">COUNTIFS(A:A,A124,P:P,"&gt;"&amp;P124)+1</f>
        <v>5</v>
      </c>
      <c r="P124" s="25" t="n">
        <f aca="false">SUMIFS(L:L,A:A,A124,B:B,B124)</f>
        <v>0.214170692431562</v>
      </c>
    </row>
    <row r="125" customFormat="false" ht="13.8" hidden="false" customHeight="false" outlineLevel="0" collapsed="false">
      <c r="A125" s="1" t="s">
        <v>365</v>
      </c>
      <c r="B125" s="30" t="s">
        <v>219</v>
      </c>
      <c r="C125" s="1" t="s">
        <v>147</v>
      </c>
      <c r="D125" s="1" t="n">
        <v>370</v>
      </c>
      <c r="E125" s="25" t="n">
        <v>0.14</v>
      </c>
      <c r="F125" s="1" t="n">
        <v>2636</v>
      </c>
      <c r="G125" s="1" t="n">
        <v>9363</v>
      </c>
      <c r="H125" s="28" t="n">
        <f aca="false">ROUND(D125*IF(ISNUMBER(SEARCH("Labour",B125)),National!$L$4,IF(ISNUMBER(SEARCH("Conservative",B125)),National!$L$5,IF(OR(ISNUMBER(SEARCH("Reform",B125)),ISNUMBER(SEARCH("RefUK",B125))),National!$L$6,IF(ISNUMBER(SEARCH("Green",B125)),National!$L$7,IF(OR(ISNUMBER(SEARCH("Liberal Democrat",B125)),ISNUMBER(SEARCH("Lib Dem",B125))),National!$L$8,National!$L$9))))),0)</f>
        <v>879</v>
      </c>
      <c r="I125" s="25" t="n">
        <f aca="false">H125/SUMIFS(H:H,A:A,A125)</f>
        <v>0.19990902888333</v>
      </c>
      <c r="J125" s="29" t="n">
        <f aca="false">ROUND(I125*SUMIF(A:A,A125,D:D),0)</f>
        <v>1460</v>
      </c>
      <c r="K125" s="24" t="n">
        <f aca="false">ROUND(AVERAGEIFS(J:J,A:A,A125,B:B,B125)/COUNTIFS(B:B,B125,A:A,A125),0)</f>
        <v>1460</v>
      </c>
      <c r="L125" s="25" t="n">
        <f aca="false">K125/SUMIF(A:A,A125,K:K)</f>
        <v>0.391841116478798</v>
      </c>
      <c r="M125" s="1" t="n">
        <f aca="false">ROUND(SUMIF(A:A,A125,J:J)*L125,0)</f>
        <v>2861</v>
      </c>
      <c r="N125" s="1" t="str">
        <f aca="false">IF(O125=1,"Yes",IF(AND(O125&gt;1,SUMIFS(L:L,B:B,"&lt;&gt;Green",A:A,A125)+5%&gt;=SUMIFS(L:L,A:A,A125,B:B,"&lt;&gt;Green",O:O,1)),"No","Yes"))</f>
        <v>Yes</v>
      </c>
      <c r="O125" s="1" t="n">
        <f aca="false">COUNTIFS(A:A,A125,P:P,"&gt;"&amp;P125)+1</f>
        <v>1</v>
      </c>
      <c r="P125" s="25" t="n">
        <f aca="false">SUMIFS(L:L,A:A,A125,B:B,B125)</f>
        <v>0.391841116478798</v>
      </c>
    </row>
    <row r="126" customFormat="false" ht="13.8" hidden="false" customHeight="false" outlineLevel="0" collapsed="false">
      <c r="A126" s="1" t="s">
        <v>365</v>
      </c>
      <c r="B126" s="27" t="s">
        <v>19</v>
      </c>
      <c r="C126" s="1" t="s">
        <v>371</v>
      </c>
      <c r="D126" s="1" t="n">
        <v>206</v>
      </c>
      <c r="E126" s="25" t="n">
        <v>0.078</v>
      </c>
      <c r="F126" s="1" t="n">
        <v>2636</v>
      </c>
      <c r="G126" s="1" t="n">
        <v>9363</v>
      </c>
      <c r="H126" s="28" t="n">
        <f aca="false">ROUND(D126*IF(ISNUMBER(SEARCH("Labour",B126)),National!$L$4,IF(ISNUMBER(SEARCH("Conservative",B126)),National!$L$5,IF(OR(ISNUMBER(SEARCH("Reform",B126)),ISNUMBER(SEARCH("RefUK",B126))),National!$L$6,IF(ISNUMBER(SEARCH("Green",B126)),National!$L$7,IF(OR(ISNUMBER(SEARCH("Liberal Democrat",B126)),ISNUMBER(SEARCH("Lib Dem",B126))),National!$L$8,National!$L$9))))),0)</f>
        <v>288</v>
      </c>
      <c r="I126" s="25" t="n">
        <f aca="false">H126/SUMIFS(H:H,A:A,A126)</f>
        <v>0.0654992040027291</v>
      </c>
      <c r="J126" s="29" t="n">
        <f aca="false">ROUND(I126*SUMIF(A:A,A126,D:D),0)</f>
        <v>478</v>
      </c>
      <c r="K126" s="24" t="n">
        <f aca="false">ROUND(AVERAGEIFS(J:J,A:A,A126,B:B,B126)/COUNTIFS(B:B,B126,A:A,A126),0)</f>
        <v>478</v>
      </c>
      <c r="L126" s="25" t="n">
        <f aca="false">K126/SUMIF(A:A,A126,K:K)</f>
        <v>0.128287707997853</v>
      </c>
      <c r="M126" s="1" t="n">
        <f aca="false">ROUND(SUMIF(A:A,A126,J:J)*L126,0)</f>
        <v>937</v>
      </c>
      <c r="N126" s="1" t="str">
        <f aca="false">IF(O126=1,"Yes",IF(AND(O126&gt;1,SUMIFS(L:L,B:B,"&lt;&gt;Green",A:A,A126)+5%&gt;=SUMIFS(L:L,A:A,A126,B:B,"&lt;&gt;Green",O:O,1)),"No","Yes"))</f>
        <v>No</v>
      </c>
      <c r="O126" s="1" t="n">
        <f aca="false">COUNTIFS(A:A,A126,P:P,"&gt;"&amp;P126)+1</f>
        <v>8</v>
      </c>
      <c r="P126" s="25" t="n">
        <f aca="false">SUMIFS(L:L,A:A,A126,B:B,B126)</f>
        <v>0.128287707997853</v>
      </c>
    </row>
    <row r="127" customFormat="false" ht="13.8" hidden="false" customHeight="false" outlineLevel="0" collapsed="false">
      <c r="A127" s="1" t="s">
        <v>372</v>
      </c>
      <c r="B127" s="27" t="s">
        <v>249</v>
      </c>
      <c r="C127" s="1" t="s">
        <v>373</v>
      </c>
      <c r="D127" s="1" t="n">
        <v>1807</v>
      </c>
      <c r="E127" s="25" t="n">
        <v>0.537</v>
      </c>
      <c r="F127" s="1" t="n">
        <v>3366</v>
      </c>
      <c r="G127" s="1" t="n">
        <v>8651</v>
      </c>
      <c r="H127" s="28" t="n">
        <f aca="false">ROUND(D127*IF(ISNUMBER(SEARCH("Labour",B127)),National!$L$4,IF(ISNUMBER(SEARCH("Conservative",B127)),National!$L$5,IF(OR(ISNUMBER(SEARCH("Reform",B127)),ISNUMBER(SEARCH("RefUK",B127))),National!$L$6,IF(ISNUMBER(SEARCH("Green",B127)),National!$L$7,IF(OR(ISNUMBER(SEARCH("Liberal Democrat",B127)),ISNUMBER(SEARCH("Lib Dem",B127))),National!$L$8,National!$L$9))))),0)</f>
        <v>714</v>
      </c>
      <c r="I127" s="25" t="n">
        <f aca="false">H127/SUMIFS(H:H,A:A,A127)</f>
        <v>0.119939526289266</v>
      </c>
      <c r="J127" s="29" t="n">
        <f aca="false">ROUND(I127*SUMIF(A:A,A127,D:D),0)</f>
        <v>1123</v>
      </c>
      <c r="K127" s="24" t="n">
        <f aca="false">ROUND(AVERAGEIFS(J:J,A:A,A127,B:B,B127)/COUNTIFS(B:B,B127,A:A,A127),0)</f>
        <v>352</v>
      </c>
      <c r="L127" s="25" t="n">
        <f aca="false">K127/SUMIF(A:A,A127,K:K)</f>
        <v>0.0718074255405957</v>
      </c>
      <c r="M127" s="1" t="n">
        <f aca="false">ROUND(SUMIF(A:A,A127,J:J)*L127,0)</f>
        <v>672</v>
      </c>
      <c r="N127" s="1" t="str">
        <f aca="false">IF(O127=1,"Yes",IF(AND(O127&gt;1,SUMIFS(L:L,B:B,"&lt;&gt;Green",A:A,A127)+5%&gt;=SUMIFS(L:L,A:A,A127,B:B,"&lt;&gt;Green",O:O,1)),"No","Yes"))</f>
        <v>No</v>
      </c>
      <c r="O127" s="1" t="n">
        <f aca="false">COUNTIFS(A:A,A127,P:P,"&gt;"&amp;P127)+1</f>
        <v>5</v>
      </c>
      <c r="P127" s="25" t="n">
        <f aca="false">SUMIFS(L:L,A:A,A127,B:B,B127)</f>
        <v>0.215422276621787</v>
      </c>
    </row>
    <row r="128" customFormat="false" ht="13.8" hidden="false" customHeight="false" outlineLevel="0" collapsed="false">
      <c r="A128" s="1" t="s">
        <v>372</v>
      </c>
      <c r="B128" s="27" t="s">
        <v>249</v>
      </c>
      <c r="C128" s="1" t="s">
        <v>374</v>
      </c>
      <c r="D128" s="1" t="n">
        <v>1670</v>
      </c>
      <c r="E128" s="25" t="n">
        <v>0.496</v>
      </c>
      <c r="F128" s="1" t="n">
        <v>3366</v>
      </c>
      <c r="G128" s="1" t="n">
        <v>8651</v>
      </c>
      <c r="H128" s="28" t="n">
        <f aca="false">ROUND(D128*IF(ISNUMBER(SEARCH("Labour",B128)),National!$L$4,IF(ISNUMBER(SEARCH("Conservative",B128)),National!$L$5,IF(OR(ISNUMBER(SEARCH("Reform",B128)),ISNUMBER(SEARCH("RefUK",B128))),National!$L$6,IF(ISNUMBER(SEARCH("Green",B128)),National!$L$7,IF(OR(ISNUMBER(SEARCH("Liberal Democrat",B128)),ISNUMBER(SEARCH("Lib Dem",B128))),National!$L$8,National!$L$9))))),0)</f>
        <v>660</v>
      </c>
      <c r="I128" s="25" t="n">
        <f aca="false">H128/SUMIFS(H:H,A:A,A128)</f>
        <v>0.110868469679153</v>
      </c>
      <c r="J128" s="29" t="n">
        <f aca="false">ROUND(I128*SUMIF(A:A,A128,D:D),0)</f>
        <v>1038</v>
      </c>
      <c r="K128" s="24" t="n">
        <f aca="false">ROUND(AVERAGEIFS(J:J,A:A,A128,B:B,B128)/COUNTIFS(B:B,B128,A:A,A128),0)</f>
        <v>352</v>
      </c>
      <c r="L128" s="25" t="n">
        <f aca="false">K128/SUMIF(A:A,A128,K:K)</f>
        <v>0.0718074255405957</v>
      </c>
      <c r="M128" s="1" t="n">
        <f aca="false">ROUND(SUMIF(A:A,A128,J:J)*L128,0)</f>
        <v>672</v>
      </c>
      <c r="N128" s="1" t="str">
        <f aca="false">IF(O128=1,"Yes",IF(AND(O128&gt;1,SUMIFS(L:L,B:B,"&lt;&gt;Green",A:A,A128)+5%&gt;=SUMIFS(L:L,A:A,A128,B:B,"&lt;&gt;Green",O:O,1)),"No","Yes"))</f>
        <v>No</v>
      </c>
      <c r="O128" s="1" t="n">
        <f aca="false">COUNTIFS(A:A,A128,P:P,"&gt;"&amp;P128)+1</f>
        <v>5</v>
      </c>
      <c r="P128" s="25" t="n">
        <f aca="false">SUMIFS(L:L,A:A,A128,B:B,B128)</f>
        <v>0.215422276621787</v>
      </c>
    </row>
    <row r="129" customFormat="false" ht="12.8" hidden="false" customHeight="true" outlineLevel="0" collapsed="false">
      <c r="A129" s="1" t="s">
        <v>372</v>
      </c>
      <c r="B129" s="27" t="s">
        <v>249</v>
      </c>
      <c r="C129" s="1" t="s">
        <v>375</v>
      </c>
      <c r="D129" s="1" t="n">
        <v>1624</v>
      </c>
      <c r="E129" s="25" t="n">
        <v>0.482</v>
      </c>
      <c r="F129" s="1" t="n">
        <v>3366</v>
      </c>
      <c r="G129" s="1" t="n">
        <v>8651</v>
      </c>
      <c r="H129" s="28" t="n">
        <f aca="false">ROUND(D129*IF(ISNUMBER(SEARCH("Labour",B129)),National!$L$4,IF(ISNUMBER(SEARCH("Conservative",B129)),National!$L$5,IF(OR(ISNUMBER(SEARCH("Reform",B129)),ISNUMBER(SEARCH("RefUK",B129))),National!$L$6,IF(ISNUMBER(SEARCH("Green",B129)),National!$L$7,IF(OR(ISNUMBER(SEARCH("Liberal Democrat",B129)),ISNUMBER(SEARCH("Lib Dem",B129))),National!$L$8,National!$L$9))))),0)</f>
        <v>642</v>
      </c>
      <c r="I129" s="25" t="n">
        <f aca="false">H129/SUMIFS(H:H,A:A,A129)</f>
        <v>0.107844784142449</v>
      </c>
      <c r="J129" s="29" t="n">
        <f aca="false">ROUND(I129*SUMIF(A:A,A129,D:D),0)</f>
        <v>1010</v>
      </c>
      <c r="K129" s="24" t="n">
        <f aca="false">ROUND(AVERAGEIFS(J:J,A:A,A129,B:B,B129)/COUNTIFS(B:B,B129,A:A,A129),0)</f>
        <v>352</v>
      </c>
      <c r="L129" s="25" t="n">
        <f aca="false">K129/SUMIF(A:A,A129,K:K)</f>
        <v>0.0718074255405957</v>
      </c>
      <c r="M129" s="1" t="n">
        <f aca="false">ROUND(SUMIF(A:A,A129,J:J)*L129,0)</f>
        <v>672</v>
      </c>
      <c r="N129" s="1" t="str">
        <f aca="false">IF(O129=1,"Yes",IF(AND(O129&gt;1,SUMIFS(L:L,B:B,"&lt;&gt;Green",A:A,A129)+5%&gt;=SUMIFS(L:L,A:A,A129,B:B,"&lt;&gt;Green",O:O,1)),"No","Yes"))</f>
        <v>No</v>
      </c>
      <c r="O129" s="1" t="n">
        <f aca="false">COUNTIFS(A:A,A129,P:P,"&gt;"&amp;P129)+1</f>
        <v>5</v>
      </c>
      <c r="P129" s="25" t="n">
        <f aca="false">SUMIFS(L:L,A:A,A129,B:B,B129)</f>
        <v>0.215422276621787</v>
      </c>
    </row>
    <row r="130" customFormat="false" ht="13.8" hidden="false" customHeight="false" outlineLevel="0" collapsed="false">
      <c r="A130" s="1" t="s">
        <v>372</v>
      </c>
      <c r="B130" s="27" t="s">
        <v>241</v>
      </c>
      <c r="C130" s="1" t="s">
        <v>376</v>
      </c>
      <c r="D130" s="1" t="n">
        <v>1336</v>
      </c>
      <c r="E130" s="25" t="n">
        <v>0.397</v>
      </c>
      <c r="F130" s="1" t="n">
        <v>3366</v>
      </c>
      <c r="G130" s="1" t="n">
        <v>8651</v>
      </c>
      <c r="H130" s="28" t="n">
        <f aca="false">ROUND(D130*IF(ISNUMBER(SEARCH("Labour",B130)),National!$L$4,IF(ISNUMBER(SEARCH("Conservative",B130)),National!$L$5,IF(OR(ISNUMBER(SEARCH("Reform",B130)),ISNUMBER(SEARCH("RefUK",B130))),National!$L$6,IF(ISNUMBER(SEARCH("Green",B130)),National!$L$7,IF(OR(ISNUMBER(SEARCH("Liberal Democrat",B130)),ISNUMBER(SEARCH("Lib Dem",B130))),National!$L$8,National!$L$9))))),0)</f>
        <v>874</v>
      </c>
      <c r="I130" s="25" t="n">
        <f aca="false">H130/SUMIFS(H:H,A:A,A130)</f>
        <v>0.14681673105997</v>
      </c>
      <c r="J130" s="29" t="n">
        <f aca="false">ROUND(I130*SUMIF(A:A,A130,D:D),0)</f>
        <v>1375</v>
      </c>
      <c r="K130" s="24" t="n">
        <f aca="false">ROUND(AVERAGEIFS(J:J,A:A,A130,B:B,B130)/COUNTIFS(B:B,B130,A:A,A130),0)</f>
        <v>392</v>
      </c>
      <c r="L130" s="25" t="n">
        <f aca="false">K130/SUMIF(A:A,A130,K:K)</f>
        <v>0.0799673602611179</v>
      </c>
      <c r="M130" s="1" t="n">
        <f aca="false">ROUND(SUMIF(A:A,A130,J:J)*L130,0)</f>
        <v>749</v>
      </c>
      <c r="N130" s="1" t="str">
        <f aca="false">IF(O130=1,"Yes",IF(AND(O130&gt;1,SUMIFS(L:L,B:B,"&lt;&gt;Green",A:A,A130)+5%&gt;=SUMIFS(L:L,A:A,A130,B:B,"&lt;&gt;Green",O:O,1)),"No","Yes"))</f>
        <v>No</v>
      </c>
      <c r="O130" s="1" t="n">
        <f aca="false">COUNTIFS(A:A,A130,P:P,"&gt;"&amp;P130)+1</f>
        <v>2</v>
      </c>
      <c r="P130" s="25" t="n">
        <f aca="false">SUMIFS(L:L,A:A,A130,B:B,B130)</f>
        <v>0.239902080783354</v>
      </c>
    </row>
    <row r="131" customFormat="false" ht="13.8" hidden="false" customHeight="false" outlineLevel="0" collapsed="false">
      <c r="A131" s="1" t="s">
        <v>372</v>
      </c>
      <c r="B131" s="27" t="s">
        <v>241</v>
      </c>
      <c r="C131" s="1" t="s">
        <v>377</v>
      </c>
      <c r="D131" s="1" t="n">
        <v>1080</v>
      </c>
      <c r="E131" s="25" t="n">
        <v>0.321</v>
      </c>
      <c r="F131" s="1" t="n">
        <v>3366</v>
      </c>
      <c r="G131" s="1" t="n">
        <v>8651</v>
      </c>
      <c r="H131" s="28" t="n">
        <f aca="false">ROUND(D131*IF(ISNUMBER(SEARCH("Labour",B131)),National!$L$4,IF(ISNUMBER(SEARCH("Conservative",B131)),National!$L$5,IF(OR(ISNUMBER(SEARCH("Reform",B131)),ISNUMBER(SEARCH("RefUK",B131))),National!$L$6,IF(ISNUMBER(SEARCH("Green",B131)),National!$L$7,IF(OR(ISNUMBER(SEARCH("Liberal Democrat",B131)),ISNUMBER(SEARCH("Lib Dem",B131))),National!$L$8,National!$L$9))))),0)</f>
        <v>706</v>
      </c>
      <c r="I131" s="25" t="n">
        <f aca="false">H131/SUMIFS(H:H,A:A,A131)</f>
        <v>0.118595666050731</v>
      </c>
      <c r="J131" s="29" t="n">
        <f aca="false">ROUND(I131*SUMIF(A:A,A131,D:D),0)</f>
        <v>1111</v>
      </c>
      <c r="K131" s="24" t="n">
        <f aca="false">ROUND(AVERAGEIFS(J:J,A:A,A131,B:B,B131)/COUNTIFS(B:B,B131,A:A,A131),0)</f>
        <v>392</v>
      </c>
      <c r="L131" s="25" t="n">
        <f aca="false">K131/SUMIF(A:A,A131,K:K)</f>
        <v>0.0799673602611179</v>
      </c>
      <c r="M131" s="1" t="n">
        <f aca="false">ROUND(SUMIF(A:A,A131,J:J)*L131,0)</f>
        <v>749</v>
      </c>
      <c r="N131" s="1" t="str">
        <f aca="false">IF(O131=1,"Yes",IF(AND(O131&gt;1,SUMIFS(L:L,B:B,"&lt;&gt;Green",A:A,A131)+5%&gt;=SUMIFS(L:L,A:A,A131,B:B,"&lt;&gt;Green",O:O,1)),"No","Yes"))</f>
        <v>No</v>
      </c>
      <c r="O131" s="1" t="n">
        <f aca="false">COUNTIFS(A:A,A131,P:P,"&gt;"&amp;P131)+1</f>
        <v>2</v>
      </c>
      <c r="P131" s="25" t="n">
        <f aca="false">SUMIFS(L:L,A:A,A131,B:B,B131)</f>
        <v>0.239902080783354</v>
      </c>
    </row>
    <row r="132" customFormat="false" ht="13.8" hidden="false" customHeight="false" outlineLevel="0" collapsed="false">
      <c r="A132" s="1" t="s">
        <v>372</v>
      </c>
      <c r="B132" s="27" t="s">
        <v>241</v>
      </c>
      <c r="C132" s="1" t="s">
        <v>378</v>
      </c>
      <c r="D132" s="1" t="n">
        <v>1010</v>
      </c>
      <c r="E132" s="25" t="n">
        <v>0.3</v>
      </c>
      <c r="F132" s="1" t="n">
        <v>3366</v>
      </c>
      <c r="G132" s="1" t="n">
        <v>8651</v>
      </c>
      <c r="H132" s="28" t="n">
        <f aca="false">ROUND(D132*IF(ISNUMBER(SEARCH("Labour",B132)),National!$L$4,IF(ISNUMBER(SEARCH("Conservative",B132)),National!$L$5,IF(OR(ISNUMBER(SEARCH("Reform",B132)),ISNUMBER(SEARCH("RefUK",B132))),National!$L$6,IF(ISNUMBER(SEARCH("Green",B132)),National!$L$7,IF(OR(ISNUMBER(SEARCH("Liberal Democrat",B132)),ISNUMBER(SEARCH("Lib Dem",B132))),National!$L$8,National!$L$9))))),0)</f>
        <v>660</v>
      </c>
      <c r="I132" s="25" t="n">
        <f aca="false">H132/SUMIFS(H:H,A:A,A132)</f>
        <v>0.110868469679153</v>
      </c>
      <c r="J132" s="29" t="n">
        <f aca="false">ROUND(I132*SUMIF(A:A,A132,D:D),0)</f>
        <v>1038</v>
      </c>
      <c r="K132" s="24" t="n">
        <f aca="false">ROUND(AVERAGEIFS(J:J,A:A,A132,B:B,B132)/COUNTIFS(B:B,B132,A:A,A132),0)</f>
        <v>392</v>
      </c>
      <c r="L132" s="25" t="n">
        <f aca="false">K132/SUMIF(A:A,A132,K:K)</f>
        <v>0.0799673602611179</v>
      </c>
      <c r="M132" s="1" t="n">
        <f aca="false">ROUND(SUMIF(A:A,A132,J:J)*L132,0)</f>
        <v>749</v>
      </c>
      <c r="N132" s="1" t="str">
        <f aca="false">IF(O132=1,"Yes",IF(AND(O132&gt;1,SUMIFS(L:L,B:B,"&lt;&gt;Green",A:A,A132)+5%&gt;=SUMIFS(L:L,A:A,A132,B:B,"&lt;&gt;Green",O:O,1)),"No","Yes"))</f>
        <v>No</v>
      </c>
      <c r="O132" s="1" t="n">
        <f aca="false">COUNTIFS(A:A,A132,P:P,"&gt;"&amp;P132)+1</f>
        <v>2</v>
      </c>
      <c r="P132" s="25" t="n">
        <f aca="false">SUMIFS(L:L,A:A,A132,B:B,B132)</f>
        <v>0.239902080783354</v>
      </c>
    </row>
    <row r="133" customFormat="false" ht="13.8" hidden="false" customHeight="false" outlineLevel="0" collapsed="false">
      <c r="A133" s="1" t="s">
        <v>372</v>
      </c>
      <c r="B133" s="30" t="s">
        <v>219</v>
      </c>
      <c r="C133" s="1" t="s">
        <v>379</v>
      </c>
      <c r="D133" s="1" t="n">
        <v>536</v>
      </c>
      <c r="E133" s="25" t="n">
        <v>0.159</v>
      </c>
      <c r="F133" s="1" t="n">
        <v>3366</v>
      </c>
      <c r="G133" s="1" t="n">
        <v>8651</v>
      </c>
      <c r="H133" s="28" t="n">
        <f aca="false">ROUND(D133*IF(ISNUMBER(SEARCH("Labour",B133)),National!$L$4,IF(ISNUMBER(SEARCH("Conservative",B133)),National!$L$5,IF(OR(ISNUMBER(SEARCH("Reform",B133)),ISNUMBER(SEARCH("RefUK",B133))),National!$L$6,IF(ISNUMBER(SEARCH("Green",B133)),National!$L$7,IF(OR(ISNUMBER(SEARCH("Liberal Democrat",B133)),ISNUMBER(SEARCH("Lib Dem",B133))),National!$L$8,National!$L$9))))),0)</f>
        <v>1273</v>
      </c>
      <c r="I133" s="25" t="n">
        <f aca="false">H133/SUMIFS(H:H,A:A,A133)</f>
        <v>0.213841760456912</v>
      </c>
      <c r="J133" s="29" t="n">
        <f aca="false">ROUND(I133*SUMIF(A:A,A133,D:D),0)</f>
        <v>2003</v>
      </c>
      <c r="K133" s="24" t="n">
        <f aca="false">ROUND(AVERAGEIFS(J:J,A:A,A133,B:B,B133)/COUNTIFS(B:B,B133,A:A,A133),0)</f>
        <v>2003</v>
      </c>
      <c r="L133" s="25" t="n">
        <f aca="false">K133/SUMIF(A:A,A133,K:K)</f>
        <v>0.408608731130151</v>
      </c>
      <c r="M133" s="1" t="n">
        <f aca="false">ROUND(SUMIF(A:A,A133,J:J)*L133,0)</f>
        <v>3827</v>
      </c>
      <c r="N133" s="1" t="str">
        <f aca="false">IF(O133=1,"Yes",IF(AND(O133&gt;1,SUMIFS(L:L,B:B,"&lt;&gt;Green",A:A,A133)+5%&gt;=SUMIFS(L:L,A:A,A133,B:B,"&lt;&gt;Green",O:O,1)),"No","Yes"))</f>
        <v>Yes</v>
      </c>
      <c r="O133" s="1" t="n">
        <f aca="false">COUNTIFS(A:A,A133,P:P,"&gt;"&amp;P133)+1</f>
        <v>1</v>
      </c>
      <c r="P133" s="25" t="n">
        <f aca="false">SUMIFS(L:L,A:A,A133,B:B,B133)</f>
        <v>0.408608731130151</v>
      </c>
    </row>
    <row r="134" customFormat="false" ht="13.8" hidden="false" customHeight="false" outlineLevel="0" collapsed="false">
      <c r="A134" s="1" t="s">
        <v>372</v>
      </c>
      <c r="B134" s="27" t="s">
        <v>19</v>
      </c>
      <c r="C134" s="1" t="s">
        <v>380</v>
      </c>
      <c r="D134" s="1" t="n">
        <v>303</v>
      </c>
      <c r="E134" s="25" t="n">
        <v>0.09</v>
      </c>
      <c r="F134" s="1" t="n">
        <v>3366</v>
      </c>
      <c r="G134" s="1" t="n">
        <v>8651</v>
      </c>
      <c r="H134" s="28" t="n">
        <f aca="false">ROUND(D134*IF(ISNUMBER(SEARCH("Labour",B134)),National!$L$4,IF(ISNUMBER(SEARCH("Conservative",B134)),National!$L$5,IF(OR(ISNUMBER(SEARCH("Reform",B134)),ISNUMBER(SEARCH("RefUK",B134))),National!$L$6,IF(ISNUMBER(SEARCH("Green",B134)),National!$L$7,IF(OR(ISNUMBER(SEARCH("Liberal Democrat",B134)),ISNUMBER(SEARCH("Lib Dem",B134))),National!$L$8,National!$L$9))))),0)</f>
        <v>424</v>
      </c>
      <c r="I134" s="25" t="n">
        <f aca="false">H134/SUMIFS(H:H,A:A,A134)</f>
        <v>0.0712245926423652</v>
      </c>
      <c r="J134" s="29" t="n">
        <f aca="false">ROUND(I134*SUMIF(A:A,A134,D:D),0)</f>
        <v>667</v>
      </c>
      <c r="K134" s="24" t="n">
        <f aca="false">ROUND(AVERAGEIFS(J:J,A:A,A134,B:B,B134)/COUNTIFS(B:B,B134,A:A,A134),0)</f>
        <v>667</v>
      </c>
      <c r="L134" s="25" t="n">
        <f aca="false">K134/SUMIF(A:A,A134,K:K)</f>
        <v>0.136066911464708</v>
      </c>
      <c r="M134" s="1" t="n">
        <f aca="false">ROUND(SUMIF(A:A,A134,J:J)*L134,0)</f>
        <v>1274</v>
      </c>
      <c r="N134" s="1" t="str">
        <f aca="false">IF(O134=1,"Yes",IF(AND(O134&gt;1,SUMIFS(L:L,B:B,"&lt;&gt;Green",A:A,A134)+5%&gt;=SUMIFS(L:L,A:A,A134,B:B,"&lt;&gt;Green",O:O,1)),"No","Yes"))</f>
        <v>No</v>
      </c>
      <c r="O134" s="1" t="n">
        <f aca="false">COUNTIFS(A:A,A134,P:P,"&gt;"&amp;P134)+1</f>
        <v>8</v>
      </c>
      <c r="P134" s="25" t="n">
        <f aca="false">SUMIFS(L:L,A:A,A134,B:B,B134)</f>
        <v>0.136066911464708</v>
      </c>
    </row>
    <row r="135" customFormat="false" ht="13.8" hidden="false" customHeight="false" outlineLevel="0" collapsed="false">
      <c r="A135" s="1" t="s">
        <v>381</v>
      </c>
      <c r="B135" s="27" t="s">
        <v>241</v>
      </c>
      <c r="C135" s="1" t="s">
        <v>382</v>
      </c>
      <c r="D135" s="1" t="n">
        <v>479</v>
      </c>
      <c r="E135" s="25" t="n">
        <v>0.446</v>
      </c>
      <c r="F135" s="1" t="n">
        <v>1076</v>
      </c>
      <c r="G135" s="1" t="n">
        <v>3284</v>
      </c>
      <c r="H135" s="28" t="n">
        <f aca="false">ROUND(D135*IF(ISNUMBER(SEARCH("Labour",B135)),National!$L$4,IF(ISNUMBER(SEARCH("Conservative",B135)),National!$L$5,IF(OR(ISNUMBER(SEARCH("Reform",B135)),ISNUMBER(SEARCH("RefUK",B135))),National!$L$6,IF(ISNUMBER(SEARCH("Green",B135)),National!$L$7,IF(OR(ISNUMBER(SEARCH("Liberal Democrat",B135)),ISNUMBER(SEARCH("Lib Dem",B135))),National!$L$8,National!$L$9))))),0)</f>
        <v>313</v>
      </c>
      <c r="I135" s="25" t="n">
        <f aca="false">H135/SUMIFS(H:H,A:A,A135)</f>
        <v>0.324016563146998</v>
      </c>
      <c r="J135" s="29" t="n">
        <f aca="false">ROUND(I135*SUMIF(A:A,A135,D:D),0)</f>
        <v>348</v>
      </c>
      <c r="K135" s="24" t="n">
        <f aca="false">ROUND(AVERAGEIFS(J:J,A:A,A135,B:B,B135)/COUNTIFS(B:B,B135,A:A,A135),0)</f>
        <v>348</v>
      </c>
      <c r="L135" s="25" t="n">
        <f aca="false">K135/SUMIF(A:A,A135,K:K)</f>
        <v>0.324324324324324</v>
      </c>
      <c r="M135" s="1" t="n">
        <f aca="false">ROUND(SUMIF(A:A,A135,J:J)*L135,0)</f>
        <v>348</v>
      </c>
      <c r="N135" s="1" t="str">
        <f aca="false">IF(O135=1,"Yes",IF(AND(O135&gt;1,SUMIFS(L:L,B:B,"&lt;&gt;Green",A:A,A135)+5%&gt;=SUMIFS(L:L,A:A,A135,B:B,"&lt;&gt;Green",O:O,1)),"No","Yes"))</f>
        <v>No</v>
      </c>
      <c r="O135" s="1" t="n">
        <f aca="false">COUNTIFS(A:A,A135,P:P,"&gt;"&amp;P135)+1</f>
        <v>2</v>
      </c>
      <c r="P135" s="25" t="n">
        <f aca="false">SUMIFS(L:L,A:A,A135,B:B,B135)</f>
        <v>0.324324324324324</v>
      </c>
    </row>
    <row r="136" customFormat="false" ht="13.8" hidden="false" customHeight="false" outlineLevel="0" collapsed="false">
      <c r="A136" s="1" t="s">
        <v>381</v>
      </c>
      <c r="B136" s="27" t="s">
        <v>19</v>
      </c>
      <c r="C136" s="1" t="s">
        <v>383</v>
      </c>
      <c r="D136" s="1" t="n">
        <v>323</v>
      </c>
      <c r="E136" s="25" t="n">
        <v>0.301</v>
      </c>
      <c r="F136" s="1" t="n">
        <v>1076</v>
      </c>
      <c r="G136" s="1" t="n">
        <v>3284</v>
      </c>
      <c r="H136" s="28" t="n">
        <f aca="false">ROUND(D136*IF(ISNUMBER(SEARCH("Labour",B136)),National!$L$4,IF(ISNUMBER(SEARCH("Conservative",B136)),National!$L$5,IF(OR(ISNUMBER(SEARCH("Reform",B136)),ISNUMBER(SEARCH("RefUK",B136))),National!$L$6,IF(ISNUMBER(SEARCH("Green",B136)),National!$L$7,IF(OR(ISNUMBER(SEARCH("Liberal Democrat",B136)),ISNUMBER(SEARCH("Lib Dem",B136))),National!$L$8,National!$L$9))))),0)</f>
        <v>452</v>
      </c>
      <c r="I136" s="25" t="n">
        <f aca="false">H136/SUMIFS(H:H,A:A,A136)</f>
        <v>0.467908902691511</v>
      </c>
      <c r="J136" s="29" t="n">
        <f aca="false">ROUND(I136*SUMIF(A:A,A136,D:D),0)</f>
        <v>502</v>
      </c>
      <c r="K136" s="24" t="n">
        <f aca="false">ROUND(AVERAGEIFS(J:J,A:A,A136,B:B,B136)/COUNTIFS(B:B,B136,A:A,A136),0)</f>
        <v>502</v>
      </c>
      <c r="L136" s="25" t="n">
        <f aca="false">K136/SUMIF(A:A,A136,K:K)</f>
        <v>0.46784715750233</v>
      </c>
      <c r="M136" s="1" t="n">
        <f aca="false">ROUND(SUMIF(A:A,A136,J:J)*L136,0)</f>
        <v>502</v>
      </c>
      <c r="N136" s="1" t="str">
        <f aca="false">IF(O136=1,"Yes",IF(AND(O136&gt;1,SUMIFS(L:L,B:B,"&lt;&gt;Green",A:A,A136)+5%&gt;=SUMIFS(L:L,A:A,A136,B:B,"&lt;&gt;Green",O:O,1)),"No","Yes"))</f>
        <v>Yes</v>
      </c>
      <c r="O136" s="1" t="n">
        <f aca="false">COUNTIFS(A:A,A136,P:P,"&gt;"&amp;P136)+1</f>
        <v>1</v>
      </c>
      <c r="P136" s="25" t="n">
        <f aca="false">SUMIFS(L:L,A:A,A136,B:B,B136)</f>
        <v>0.46784715750233</v>
      </c>
    </row>
    <row r="137" customFormat="false" ht="13.8" hidden="false" customHeight="false" outlineLevel="0" collapsed="false">
      <c r="A137" s="1" t="s">
        <v>381</v>
      </c>
      <c r="B137" s="27" t="s">
        <v>216</v>
      </c>
      <c r="C137" s="1" t="s">
        <v>384</v>
      </c>
      <c r="D137" s="1" t="n">
        <v>224</v>
      </c>
      <c r="E137" s="25" t="n">
        <v>0.209</v>
      </c>
      <c r="F137" s="1" t="n">
        <v>1076</v>
      </c>
      <c r="G137" s="1" t="n">
        <v>3284</v>
      </c>
      <c r="H137" s="28" t="n">
        <f aca="false">ROUND(D137*IF(ISNUMBER(SEARCH("Labour",B137)),National!$L$4,IF(ISNUMBER(SEARCH("Conservative",B137)),National!$L$5,IF(OR(ISNUMBER(SEARCH("Reform",B137)),ISNUMBER(SEARCH("RefUK",B137))),National!$L$6,IF(ISNUMBER(SEARCH("Green",B137)),National!$L$7,IF(OR(ISNUMBER(SEARCH("Liberal Democrat",B137)),ISNUMBER(SEARCH("Lib Dem",B137))),National!$L$8,National!$L$9))))),0)</f>
        <v>89</v>
      </c>
      <c r="I137" s="25" t="n">
        <f aca="false">H137/SUMIFS(H:H,A:A,A137)</f>
        <v>0.0921325051759834</v>
      </c>
      <c r="J137" s="29" t="n">
        <f aca="false">ROUND(I137*SUMIF(A:A,A137,D:D),0)</f>
        <v>99</v>
      </c>
      <c r="K137" s="24" t="n">
        <f aca="false">ROUND(AVERAGEIFS(J:J,A:A,A137,B:B,B137)/COUNTIFS(B:B,B137,A:A,A137),0)</f>
        <v>99</v>
      </c>
      <c r="L137" s="25" t="n">
        <f aca="false">K137/SUMIF(A:A,A137,K:K)</f>
        <v>0.092264678471575</v>
      </c>
      <c r="M137" s="1" t="n">
        <f aca="false">ROUND(SUMIF(A:A,A137,J:J)*L137,0)</f>
        <v>99</v>
      </c>
      <c r="N137" s="1" t="str">
        <f aca="false">IF(O137=1,"Yes",IF(AND(O137&gt;1,SUMIFS(L:L,B:B,"&lt;&gt;Green",A:A,A137)+5%&gt;=SUMIFS(L:L,A:A,A137,B:B,"&lt;&gt;Green",O:O,1)),"No","Yes"))</f>
        <v>No</v>
      </c>
      <c r="O137" s="1" t="n">
        <f aca="false">COUNTIFS(A:A,A137,P:P,"&gt;"&amp;P137)+1</f>
        <v>4</v>
      </c>
      <c r="P137" s="25" t="n">
        <f aca="false">SUMIFS(L:L,A:A,A137,B:B,B137)</f>
        <v>0.092264678471575</v>
      </c>
    </row>
    <row r="138" customFormat="false" ht="13.8" hidden="false" customHeight="false" outlineLevel="0" collapsed="false">
      <c r="A138" s="1" t="s">
        <v>381</v>
      </c>
      <c r="B138" s="30" t="s">
        <v>219</v>
      </c>
      <c r="C138" s="1" t="s">
        <v>385</v>
      </c>
      <c r="D138" s="1" t="n">
        <v>47</v>
      </c>
      <c r="E138" s="25" t="n">
        <v>0.044</v>
      </c>
      <c r="F138" s="1" t="n">
        <v>1076</v>
      </c>
      <c r="G138" s="1" t="n">
        <v>3284</v>
      </c>
      <c r="H138" s="28" t="n">
        <f aca="false">ROUND(D138*IF(ISNUMBER(SEARCH("Labour",B138)),National!$L$4,IF(ISNUMBER(SEARCH("Conservative",B138)),National!$L$5,IF(OR(ISNUMBER(SEARCH("Reform",B138)),ISNUMBER(SEARCH("RefUK",B138))),National!$L$6,IF(ISNUMBER(SEARCH("Green",B138)),National!$L$7,IF(OR(ISNUMBER(SEARCH("Liberal Democrat",B138)),ISNUMBER(SEARCH("Lib Dem",B138))),National!$L$8,National!$L$9))))),0)</f>
        <v>112</v>
      </c>
      <c r="I138" s="25" t="n">
        <f aca="false">H138/SUMIFS(H:H,A:A,A138)</f>
        <v>0.115942028985507</v>
      </c>
      <c r="J138" s="29" t="n">
        <f aca="false">ROUND(I138*SUMIF(A:A,A138,D:D),0)</f>
        <v>124</v>
      </c>
      <c r="K138" s="24" t="n">
        <f aca="false">ROUND(AVERAGEIFS(J:J,A:A,A138,B:B,B138)/COUNTIFS(B:B,B138,A:A,A138),0)</f>
        <v>124</v>
      </c>
      <c r="L138" s="25" t="n">
        <f aca="false">K138/SUMIF(A:A,A138,K:K)</f>
        <v>0.115563839701771</v>
      </c>
      <c r="M138" s="1" t="n">
        <f aca="false">ROUND(SUMIF(A:A,A138,J:J)*L138,0)</f>
        <v>124</v>
      </c>
      <c r="N138" s="1" t="str">
        <f aca="false">IF(O138=1,"Yes",IF(AND(O138&gt;1,SUMIFS(L:L,B:B,"&lt;&gt;Green",A:A,A138)+5%&gt;=SUMIFS(L:L,A:A,A138,B:B,"&lt;&gt;Green",O:O,1)),"No","Yes"))</f>
        <v>No</v>
      </c>
      <c r="O138" s="1" t="n">
        <f aca="false">COUNTIFS(A:A,A138,P:P,"&gt;"&amp;P138)+1</f>
        <v>3</v>
      </c>
      <c r="P138" s="25" t="n">
        <f aca="false">SUMIFS(L:L,A:A,A138,B:B,B138)</f>
        <v>0.115563839701771</v>
      </c>
    </row>
    <row r="139" customFormat="false" ht="13.8" hidden="false" customHeight="false" outlineLevel="0" collapsed="false">
      <c r="A139" s="1" t="s">
        <v>386</v>
      </c>
      <c r="B139" s="27" t="s">
        <v>249</v>
      </c>
      <c r="C139" s="1" t="s">
        <v>387</v>
      </c>
      <c r="D139" s="1" t="n">
        <v>1774</v>
      </c>
      <c r="E139" s="25" t="n">
        <v>0.534</v>
      </c>
      <c r="F139" s="1" t="n">
        <v>3323</v>
      </c>
      <c r="G139" s="1" t="n">
        <v>10418</v>
      </c>
      <c r="H139" s="28" t="n">
        <f aca="false">ROUND(D139*IF(ISNUMBER(SEARCH("Labour",B139)),National!$L$4,IF(ISNUMBER(SEARCH("Conservative",B139)),National!$L$5,IF(OR(ISNUMBER(SEARCH("Reform",B139)),ISNUMBER(SEARCH("RefUK",B139))),National!$L$6,IF(ISNUMBER(SEARCH("Green",B139)),National!$L$7,IF(OR(ISNUMBER(SEARCH("Liberal Democrat",B139)),ISNUMBER(SEARCH("Lib Dem",B139))),National!$L$8,National!$L$9))))),0)</f>
        <v>701</v>
      </c>
      <c r="I139" s="25" t="n">
        <f aca="false">H139/SUMIFS(H:H,A:A,A139)</f>
        <v>0.121385281385281</v>
      </c>
      <c r="J139" s="29" t="n">
        <f aca="false">ROUND(I139*SUMIF(A:A,A139,D:D),0)</f>
        <v>1143</v>
      </c>
      <c r="K139" s="24" t="n">
        <f aca="false">ROUND(AVERAGEIFS(J:J,A:A,A139,B:B,B139)/COUNTIFS(B:B,B139,A:A,A139),0)</f>
        <v>373</v>
      </c>
      <c r="L139" s="25" t="n">
        <f aca="false">K139/SUMIF(A:A,A139,K:K)</f>
        <v>0.0777893639207508</v>
      </c>
      <c r="M139" s="1" t="n">
        <f aca="false">ROUND(SUMIF(A:A,A139,J:J)*L139,0)</f>
        <v>733</v>
      </c>
      <c r="N139" s="1" t="str">
        <f aca="false">IF(O139=1,"Yes",IF(AND(O139&gt;1,SUMIFS(L:L,B:B,"&lt;&gt;Green",A:A,A139)+5%&gt;=SUMIFS(L:L,A:A,A139,B:B,"&lt;&gt;Green",O:O,1)),"No","Yes"))</f>
        <v>No</v>
      </c>
      <c r="O139" s="1" t="n">
        <f aca="false">COUNTIFS(A:A,A139,P:P,"&gt;"&amp;P139)+1</f>
        <v>5</v>
      </c>
      <c r="P139" s="25" t="n">
        <f aca="false">SUMIFS(L:L,A:A,A139,B:B,B139)</f>
        <v>0.233368091762252</v>
      </c>
    </row>
    <row r="140" customFormat="false" ht="13.8" hidden="false" customHeight="false" outlineLevel="0" collapsed="false">
      <c r="A140" s="1" t="s">
        <v>386</v>
      </c>
      <c r="B140" s="27" t="s">
        <v>249</v>
      </c>
      <c r="C140" s="1" t="s">
        <v>388</v>
      </c>
      <c r="D140" s="1" t="n">
        <v>1758</v>
      </c>
      <c r="E140" s="25" t="n">
        <v>0.529</v>
      </c>
      <c r="F140" s="1" t="n">
        <v>3323</v>
      </c>
      <c r="G140" s="1" t="n">
        <v>10418</v>
      </c>
      <c r="H140" s="28" t="n">
        <f aca="false">ROUND(D140*IF(ISNUMBER(SEARCH("Labour",B140)),National!$L$4,IF(ISNUMBER(SEARCH("Conservative",B140)),National!$L$5,IF(OR(ISNUMBER(SEARCH("Reform",B140)),ISNUMBER(SEARCH("RefUK",B140))),National!$L$6,IF(ISNUMBER(SEARCH("Green",B140)),National!$L$7,IF(OR(ISNUMBER(SEARCH("Liberal Democrat",B140)),ISNUMBER(SEARCH("Lib Dem",B140))),National!$L$8,National!$L$9))))),0)</f>
        <v>695</v>
      </c>
      <c r="I140" s="25" t="n">
        <f aca="false">H140/SUMIFS(H:H,A:A,A140)</f>
        <v>0.12034632034632</v>
      </c>
      <c r="J140" s="29" t="n">
        <f aca="false">ROUND(I140*SUMIF(A:A,A140,D:D),0)</f>
        <v>1133</v>
      </c>
      <c r="K140" s="24" t="n">
        <f aca="false">ROUND(AVERAGEIFS(J:J,A:A,A140,B:B,B140)/COUNTIFS(B:B,B140,A:A,A140),0)</f>
        <v>373</v>
      </c>
      <c r="L140" s="25" t="n">
        <f aca="false">K140/SUMIF(A:A,A140,K:K)</f>
        <v>0.0777893639207508</v>
      </c>
      <c r="M140" s="1" t="n">
        <f aca="false">ROUND(SUMIF(A:A,A140,J:J)*L140,0)</f>
        <v>733</v>
      </c>
      <c r="N140" s="1" t="str">
        <f aca="false">IF(O140=1,"Yes",IF(AND(O140&gt;1,SUMIFS(L:L,B:B,"&lt;&gt;Green",A:A,A140)+5%&gt;=SUMIFS(L:L,A:A,A140,B:B,"&lt;&gt;Green",O:O,1)),"No","Yes"))</f>
        <v>No</v>
      </c>
      <c r="O140" s="1" t="n">
        <f aca="false">COUNTIFS(A:A,A140,P:P,"&gt;"&amp;P140)+1</f>
        <v>5</v>
      </c>
      <c r="P140" s="25" t="n">
        <f aca="false">SUMIFS(L:L,A:A,A140,B:B,B140)</f>
        <v>0.233368091762252</v>
      </c>
    </row>
    <row r="141" customFormat="false" ht="13.8" hidden="false" customHeight="false" outlineLevel="0" collapsed="false">
      <c r="A141" s="1" t="s">
        <v>386</v>
      </c>
      <c r="B141" s="27" t="s">
        <v>249</v>
      </c>
      <c r="C141" s="1" t="s">
        <v>389</v>
      </c>
      <c r="D141" s="1" t="n">
        <v>1682</v>
      </c>
      <c r="E141" s="25" t="n">
        <v>0.506</v>
      </c>
      <c r="F141" s="1" t="n">
        <v>3323</v>
      </c>
      <c r="G141" s="1" t="n">
        <v>10418</v>
      </c>
      <c r="H141" s="28" t="n">
        <f aca="false">ROUND(D141*IF(ISNUMBER(SEARCH("Labour",B141)),National!$L$4,IF(ISNUMBER(SEARCH("Conservative",B141)),National!$L$5,IF(OR(ISNUMBER(SEARCH("Reform",B141)),ISNUMBER(SEARCH("RefUK",B141))),National!$L$6,IF(ISNUMBER(SEARCH("Green",B141)),National!$L$7,IF(OR(ISNUMBER(SEARCH("Liberal Democrat",B141)),ISNUMBER(SEARCH("Lib Dem",B141))),National!$L$8,National!$L$9))))),0)</f>
        <v>665</v>
      </c>
      <c r="I141" s="25" t="n">
        <f aca="false">H141/SUMIFS(H:H,A:A,A141)</f>
        <v>0.115151515151515</v>
      </c>
      <c r="J141" s="29" t="n">
        <f aca="false">ROUND(I141*SUMIF(A:A,A141,D:D),0)</f>
        <v>1084</v>
      </c>
      <c r="K141" s="24" t="n">
        <f aca="false">ROUND(AVERAGEIFS(J:J,A:A,A141,B:B,B141)/COUNTIFS(B:B,B141,A:A,A141),0)</f>
        <v>373</v>
      </c>
      <c r="L141" s="25" t="n">
        <f aca="false">K141/SUMIF(A:A,A141,K:K)</f>
        <v>0.0777893639207508</v>
      </c>
      <c r="M141" s="1" t="n">
        <f aca="false">ROUND(SUMIF(A:A,A141,J:J)*L141,0)</f>
        <v>733</v>
      </c>
      <c r="N141" s="1" t="str">
        <f aca="false">IF(O141=1,"Yes",IF(AND(O141&gt;1,SUMIFS(L:L,B:B,"&lt;&gt;Green",A:A,A141)+5%&gt;=SUMIFS(L:L,A:A,A141,B:B,"&lt;&gt;Green",O:O,1)),"No","Yes"))</f>
        <v>No</v>
      </c>
      <c r="O141" s="1" t="n">
        <f aca="false">COUNTIFS(A:A,A141,P:P,"&gt;"&amp;P141)+1</f>
        <v>5</v>
      </c>
      <c r="P141" s="25" t="n">
        <f aca="false">SUMIFS(L:L,A:A,A141,B:B,B141)</f>
        <v>0.233368091762252</v>
      </c>
    </row>
    <row r="142" customFormat="false" ht="13.8" hidden="false" customHeight="false" outlineLevel="0" collapsed="false">
      <c r="A142" s="1" t="s">
        <v>386</v>
      </c>
      <c r="B142" s="27" t="s">
        <v>241</v>
      </c>
      <c r="C142" s="1" t="s">
        <v>390</v>
      </c>
      <c r="D142" s="1" t="n">
        <v>1202</v>
      </c>
      <c r="E142" s="25" t="n">
        <v>0.362</v>
      </c>
      <c r="F142" s="1" t="n">
        <v>3323</v>
      </c>
      <c r="G142" s="1" t="n">
        <v>10418</v>
      </c>
      <c r="H142" s="28" t="n">
        <f aca="false">ROUND(D142*IF(ISNUMBER(SEARCH("Labour",B142)),National!$L$4,IF(ISNUMBER(SEARCH("Conservative",B142)),National!$L$5,IF(OR(ISNUMBER(SEARCH("Reform",B142)),ISNUMBER(SEARCH("RefUK",B142))),National!$L$6,IF(ISNUMBER(SEARCH("Green",B142)),National!$L$7,IF(OR(ISNUMBER(SEARCH("Liberal Democrat",B142)),ISNUMBER(SEARCH("Lib Dem",B142))),National!$L$8,National!$L$9))))),0)</f>
        <v>786</v>
      </c>
      <c r="I142" s="25" t="n">
        <f aca="false">H142/SUMIFS(H:H,A:A,A142)</f>
        <v>0.136103896103896</v>
      </c>
      <c r="J142" s="29" t="n">
        <f aca="false">ROUND(I142*SUMIF(A:A,A142,D:D),0)</f>
        <v>1282</v>
      </c>
      <c r="K142" s="24" t="n">
        <f aca="false">ROUND(AVERAGEIFS(J:J,A:A,A142,B:B,B142)/COUNTIFS(B:B,B142,A:A,A142),0)</f>
        <v>397</v>
      </c>
      <c r="L142" s="25" t="n">
        <f aca="false">K142/SUMIF(A:A,A142,K:K)</f>
        <v>0.0827945776850886</v>
      </c>
      <c r="M142" s="1" t="n">
        <f aca="false">ROUND(SUMIF(A:A,A142,J:J)*L142,0)</f>
        <v>780</v>
      </c>
      <c r="N142" s="1" t="str">
        <f aca="false">IF(O142=1,"Yes",IF(AND(O142&gt;1,SUMIFS(L:L,B:B,"&lt;&gt;Green",A:A,A142)+5%&gt;=SUMIFS(L:L,A:A,A142,B:B,"&lt;&gt;Green",O:O,1)),"No","Yes"))</f>
        <v>No</v>
      </c>
      <c r="O142" s="1" t="n">
        <f aca="false">COUNTIFS(A:A,A142,P:P,"&gt;"&amp;P142)+1</f>
        <v>2</v>
      </c>
      <c r="P142" s="25" t="n">
        <f aca="false">SUMIFS(L:L,A:A,A142,B:B,B142)</f>
        <v>0.248383733055266</v>
      </c>
    </row>
    <row r="143" customFormat="false" ht="13.8" hidden="false" customHeight="false" outlineLevel="0" collapsed="false">
      <c r="A143" s="1" t="s">
        <v>386</v>
      </c>
      <c r="B143" s="27" t="s">
        <v>241</v>
      </c>
      <c r="C143" s="1" t="s">
        <v>391</v>
      </c>
      <c r="D143" s="1" t="n">
        <v>1078</v>
      </c>
      <c r="E143" s="25" t="n">
        <v>0.324</v>
      </c>
      <c r="F143" s="1" t="n">
        <v>3323</v>
      </c>
      <c r="G143" s="1" t="n">
        <v>10418</v>
      </c>
      <c r="H143" s="28" t="n">
        <f aca="false">ROUND(D143*IF(ISNUMBER(SEARCH("Labour",B143)),National!$L$4,IF(ISNUMBER(SEARCH("Conservative",B143)),National!$L$5,IF(OR(ISNUMBER(SEARCH("Reform",B143)),ISNUMBER(SEARCH("RefUK",B143))),National!$L$6,IF(ISNUMBER(SEARCH("Green",B143)),National!$L$7,IF(OR(ISNUMBER(SEARCH("Liberal Democrat",B143)),ISNUMBER(SEARCH("Lib Dem",B143))),National!$L$8,National!$L$9))))),0)</f>
        <v>705</v>
      </c>
      <c r="I143" s="25" t="n">
        <f aca="false">H143/SUMIFS(H:H,A:A,A143)</f>
        <v>0.122077922077922</v>
      </c>
      <c r="J143" s="29" t="n">
        <f aca="false">ROUND(I143*SUMIF(A:A,A143,D:D),0)</f>
        <v>1150</v>
      </c>
      <c r="K143" s="24" t="n">
        <f aca="false">ROUND(AVERAGEIFS(J:J,A:A,A143,B:B,B143)/COUNTIFS(B:B,B143,A:A,A143),0)</f>
        <v>397</v>
      </c>
      <c r="L143" s="25" t="n">
        <f aca="false">K143/SUMIF(A:A,A143,K:K)</f>
        <v>0.0827945776850886</v>
      </c>
      <c r="M143" s="1" t="n">
        <f aca="false">ROUND(SUMIF(A:A,A143,J:J)*L143,0)</f>
        <v>780</v>
      </c>
      <c r="N143" s="1" t="str">
        <f aca="false">IF(O143=1,"Yes",IF(AND(O143&gt;1,SUMIFS(L:L,B:B,"&lt;&gt;Green",A:A,A143)+5%&gt;=SUMIFS(L:L,A:A,A143,B:B,"&lt;&gt;Green",O:O,1)),"No","Yes"))</f>
        <v>No</v>
      </c>
      <c r="O143" s="1" t="n">
        <f aca="false">COUNTIFS(A:A,A143,P:P,"&gt;"&amp;P143)+1</f>
        <v>2</v>
      </c>
      <c r="P143" s="25" t="n">
        <f aca="false">SUMIFS(L:L,A:A,A143,B:B,B143)</f>
        <v>0.248383733055266</v>
      </c>
    </row>
    <row r="144" customFormat="false" ht="13.8" hidden="false" customHeight="false" outlineLevel="0" collapsed="false">
      <c r="A144" s="1" t="s">
        <v>386</v>
      </c>
      <c r="B144" s="27" t="s">
        <v>241</v>
      </c>
      <c r="C144" s="1" t="s">
        <v>392</v>
      </c>
      <c r="D144" s="1" t="n">
        <v>1069</v>
      </c>
      <c r="E144" s="25" t="n">
        <v>0.322</v>
      </c>
      <c r="F144" s="1" t="n">
        <v>3323</v>
      </c>
      <c r="G144" s="1" t="n">
        <v>10418</v>
      </c>
      <c r="H144" s="28" t="n">
        <f aca="false">ROUND(D144*IF(ISNUMBER(SEARCH("Labour",B144)),National!$L$4,IF(ISNUMBER(SEARCH("Conservative",B144)),National!$L$5,IF(OR(ISNUMBER(SEARCH("Reform",B144)),ISNUMBER(SEARCH("RefUK",B144))),National!$L$6,IF(ISNUMBER(SEARCH("Green",B144)),National!$L$7,IF(OR(ISNUMBER(SEARCH("Liberal Democrat",B144)),ISNUMBER(SEARCH("Lib Dem",B144))),National!$L$8,National!$L$9))))),0)</f>
        <v>699</v>
      </c>
      <c r="I144" s="25" t="n">
        <f aca="false">H144/SUMIFS(H:H,A:A,A144)</f>
        <v>0.121038961038961</v>
      </c>
      <c r="J144" s="29" t="n">
        <f aca="false">ROUND(I144*SUMIF(A:A,A144,D:D),0)</f>
        <v>1140</v>
      </c>
      <c r="K144" s="24" t="n">
        <f aca="false">ROUND(AVERAGEIFS(J:J,A:A,A144,B:B,B144)/COUNTIFS(B:B,B144,A:A,A144),0)</f>
        <v>397</v>
      </c>
      <c r="L144" s="25" t="n">
        <f aca="false">K144/SUMIF(A:A,A144,K:K)</f>
        <v>0.0827945776850886</v>
      </c>
      <c r="M144" s="1" t="n">
        <f aca="false">ROUND(SUMIF(A:A,A144,J:J)*L144,0)</f>
        <v>780</v>
      </c>
      <c r="N144" s="1" t="str">
        <f aca="false">IF(O144=1,"Yes",IF(AND(O144&gt;1,SUMIFS(L:L,B:B,"&lt;&gt;Green",A:A,A144)+5%&gt;=SUMIFS(L:L,A:A,A144,B:B,"&lt;&gt;Green",O:O,1)),"No","Yes"))</f>
        <v>No</v>
      </c>
      <c r="O144" s="1" t="n">
        <f aca="false">COUNTIFS(A:A,A144,P:P,"&gt;"&amp;P144)+1</f>
        <v>2</v>
      </c>
      <c r="P144" s="25" t="n">
        <f aca="false">SUMIFS(L:L,A:A,A144,B:B,B144)</f>
        <v>0.248383733055266</v>
      </c>
    </row>
    <row r="145" customFormat="false" ht="13.8" hidden="false" customHeight="false" outlineLevel="0" collapsed="false">
      <c r="A145" s="1" t="s">
        <v>386</v>
      </c>
      <c r="B145" s="30" t="s">
        <v>219</v>
      </c>
      <c r="C145" s="1" t="s">
        <v>393</v>
      </c>
      <c r="D145" s="1" t="n">
        <v>393</v>
      </c>
      <c r="E145" s="25" t="n">
        <v>0.118</v>
      </c>
      <c r="F145" s="1" t="n">
        <v>3323</v>
      </c>
      <c r="G145" s="1" t="n">
        <v>10418</v>
      </c>
      <c r="H145" s="28" t="n">
        <f aca="false">ROUND(D145*IF(ISNUMBER(SEARCH("Labour",B145)),National!$L$4,IF(ISNUMBER(SEARCH("Conservative",B145)),National!$L$5,IF(OR(ISNUMBER(SEARCH("Reform",B145)),ISNUMBER(SEARCH("RefUK",B145))),National!$L$6,IF(ISNUMBER(SEARCH("Green",B145)),National!$L$7,IF(OR(ISNUMBER(SEARCH("Liberal Democrat",B145)),ISNUMBER(SEARCH("Lib Dem",B145))),National!$L$8,National!$L$9))))),0)</f>
        <v>933</v>
      </c>
      <c r="I145" s="25" t="n">
        <f aca="false">H145/SUMIFS(H:H,A:A,A145)</f>
        <v>0.161558441558442</v>
      </c>
      <c r="J145" s="29" t="n">
        <f aca="false">ROUND(I145*SUMIF(A:A,A145,D:D),0)</f>
        <v>1522</v>
      </c>
      <c r="K145" s="24" t="n">
        <f aca="false">ROUND(AVERAGEIFS(J:J,A:A,A145,B:B,B145)/COUNTIFS(B:B,B145,A:A,A145),0)</f>
        <v>1522</v>
      </c>
      <c r="L145" s="25" t="n">
        <f aca="false">K145/SUMIF(A:A,A145,K:K)</f>
        <v>0.317413972888425</v>
      </c>
      <c r="M145" s="1" t="n">
        <f aca="false">ROUND(SUMIF(A:A,A145,J:J)*L145,0)</f>
        <v>2989</v>
      </c>
      <c r="N145" s="1" t="str">
        <f aca="false">IF(O145=1,"Yes",IF(AND(O145&gt;1,SUMIFS(L:L,B:B,"&lt;&gt;Green",A:A,A145)+5%&gt;=SUMIFS(L:L,A:A,A145,B:B,"&lt;&gt;Green",O:O,1)),"No","Yes"))</f>
        <v>Yes</v>
      </c>
      <c r="O145" s="1" t="n">
        <f aca="false">COUNTIFS(A:A,A145,P:P,"&gt;"&amp;P145)+1</f>
        <v>1</v>
      </c>
      <c r="P145" s="25" t="n">
        <f aca="false">SUMIFS(L:L,A:A,A145,B:B,B145)</f>
        <v>0.317413972888425</v>
      </c>
    </row>
    <row r="146" customFormat="false" ht="13.8" hidden="false" customHeight="false" outlineLevel="0" collapsed="false">
      <c r="A146" s="1" t="s">
        <v>386</v>
      </c>
      <c r="B146" s="27" t="s">
        <v>19</v>
      </c>
      <c r="C146" s="1" t="s">
        <v>394</v>
      </c>
      <c r="D146" s="1" t="n">
        <v>245</v>
      </c>
      <c r="E146" s="25" t="n">
        <v>0.074</v>
      </c>
      <c r="F146" s="1" t="n">
        <v>3323</v>
      </c>
      <c r="G146" s="1" t="n">
        <v>10418</v>
      </c>
      <c r="H146" s="28" t="n">
        <f aca="false">ROUND(D146*IF(ISNUMBER(SEARCH("Labour",B146)),National!$L$4,IF(ISNUMBER(SEARCH("Conservative",B146)),National!$L$5,IF(OR(ISNUMBER(SEARCH("Reform",B146)),ISNUMBER(SEARCH("RefUK",B146))),National!$L$6,IF(ISNUMBER(SEARCH("Green",B146)),National!$L$7,IF(OR(ISNUMBER(SEARCH("Liberal Democrat",B146)),ISNUMBER(SEARCH("Lib Dem",B146))),National!$L$8,National!$L$9))))),0)</f>
        <v>343</v>
      </c>
      <c r="I146" s="25" t="n">
        <f aca="false">H146/SUMIFS(H:H,A:A,A146)</f>
        <v>0.0593939393939394</v>
      </c>
      <c r="J146" s="29" t="n">
        <f aca="false">ROUND(I146*SUMIF(A:A,A146,D:D),0)</f>
        <v>559</v>
      </c>
      <c r="K146" s="24" t="n">
        <f aca="false">ROUND(AVERAGEIFS(J:J,A:A,A146,B:B,B146)/COUNTIFS(B:B,B146,A:A,A146),0)</f>
        <v>559</v>
      </c>
      <c r="L146" s="25" t="n">
        <f aca="false">K146/SUMIF(A:A,A146,K:K)</f>
        <v>0.116579770594369</v>
      </c>
      <c r="M146" s="1" t="n">
        <f aca="false">ROUND(SUMIF(A:A,A146,J:J)*L146,0)</f>
        <v>1098</v>
      </c>
      <c r="N146" s="1" t="str">
        <f aca="false">IF(O146=1,"Yes",IF(AND(O146&gt;1,SUMIFS(L:L,B:B,"&lt;&gt;Green",A:A,A146)+5%&gt;=SUMIFS(L:L,A:A,A146,B:B,"&lt;&gt;Green",O:O,1)),"No","Yes"))</f>
        <v>No</v>
      </c>
      <c r="O146" s="1" t="n">
        <f aca="false">COUNTIFS(A:A,A146,P:P,"&gt;"&amp;P146)+1</f>
        <v>8</v>
      </c>
      <c r="P146" s="25" t="n">
        <f aca="false">SUMIFS(L:L,A:A,A146,B:B,B146)</f>
        <v>0.116579770594369</v>
      </c>
    </row>
    <row r="147" customFormat="false" ht="13.8" hidden="false" customHeight="false" outlineLevel="0" collapsed="false">
      <c r="A147" s="1" t="s">
        <v>386</v>
      </c>
      <c r="B147" s="27" t="s">
        <v>395</v>
      </c>
      <c r="C147" s="1" t="s">
        <v>396</v>
      </c>
      <c r="D147" s="1" t="n">
        <v>217</v>
      </c>
      <c r="E147" s="25" t="n">
        <v>0.065</v>
      </c>
      <c r="F147" s="1" t="n">
        <v>3323</v>
      </c>
      <c r="G147" s="1" t="n">
        <v>10418</v>
      </c>
      <c r="H147" s="28" t="n">
        <f aca="false">ROUND(D147*IF(ISNUMBER(SEARCH("Labour",B147)),National!$L$4,IF(ISNUMBER(SEARCH("Conservative",B147)),National!$L$5,IF(OR(ISNUMBER(SEARCH("Reform",B147)),ISNUMBER(SEARCH("RefUK",B147))),National!$L$6,IF(ISNUMBER(SEARCH("Green",B147)),National!$L$7,IF(OR(ISNUMBER(SEARCH("Liberal Democrat",B147)),ISNUMBER(SEARCH("Lib Dem",B147))),National!$L$8,National!$L$9))))),0)</f>
        <v>248</v>
      </c>
      <c r="I147" s="25" t="n">
        <f aca="false">H147/SUMIFS(H:H,A:A,A147)</f>
        <v>0.0429437229437229</v>
      </c>
      <c r="J147" s="29" t="n">
        <f aca="false">ROUND(I147*SUMIF(A:A,A147,D:D),0)</f>
        <v>404</v>
      </c>
      <c r="K147" s="24" t="n">
        <f aca="false">ROUND(AVERAGEIFS(J:J,A:A,A147,B:B,B147)/COUNTIFS(B:B,B147,A:A,A147),0)</f>
        <v>404</v>
      </c>
      <c r="L147" s="25" t="n">
        <f aca="false">K147/SUMIF(A:A,A147,K:K)</f>
        <v>0.0842544316996872</v>
      </c>
      <c r="M147" s="1" t="n">
        <f aca="false">ROUND(SUMIF(A:A,A147,J:J)*L147,0)</f>
        <v>793</v>
      </c>
      <c r="N147" s="1" t="str">
        <f aca="false">IF(O147=1,"Yes",IF(AND(O147&gt;1,SUMIFS(L:L,B:B,"&lt;&gt;Green",A:A,A147)+5%&gt;=SUMIFS(L:L,A:A,A147,B:B,"&lt;&gt;Green",O:O,1)),"No","Yes"))</f>
        <v>No</v>
      </c>
      <c r="O147" s="1" t="n">
        <f aca="false">COUNTIFS(A:A,A147,P:P,"&gt;"&amp;P147)+1</f>
        <v>9</v>
      </c>
      <c r="P147" s="25" t="n">
        <f aca="false">SUMIFS(L:L,A:A,A147,B:B,B147)</f>
        <v>0.0842544316996872</v>
      </c>
    </row>
    <row r="148" customFormat="false" ht="13.8" hidden="false" customHeight="false" outlineLevel="0" collapsed="false">
      <c r="A148" s="1" t="s">
        <v>397</v>
      </c>
      <c r="B148" s="27" t="s">
        <v>241</v>
      </c>
      <c r="C148" s="1" t="s">
        <v>398</v>
      </c>
      <c r="D148" s="1" t="n">
        <v>1458</v>
      </c>
      <c r="E148" s="25" t="n">
        <v>0.511</v>
      </c>
      <c r="F148" s="1" t="n">
        <v>2852</v>
      </c>
      <c r="G148" s="1" t="n">
        <v>10218</v>
      </c>
      <c r="H148" s="28" t="n">
        <f aca="false">ROUND(D148*IF(ISNUMBER(SEARCH("Labour",B148)),National!$L$4,IF(ISNUMBER(SEARCH("Conservative",B148)),National!$L$5,IF(OR(ISNUMBER(SEARCH("Reform",B148)),ISNUMBER(SEARCH("RefUK",B148))),National!$L$6,IF(ISNUMBER(SEARCH("Green",B148)),National!$L$7,IF(OR(ISNUMBER(SEARCH("Liberal Democrat",B148)),ISNUMBER(SEARCH("Lib Dem",B148))),National!$L$8,National!$L$9))))),0)</f>
        <v>953</v>
      </c>
      <c r="I148" s="25" t="n">
        <f aca="false">H148/SUMIFS(H:H,A:A,A148)</f>
        <v>0.164679453948505</v>
      </c>
      <c r="J148" s="29" t="n">
        <f aca="false">ROUND(I148*SUMIF(A:A,A148,D:D),0)</f>
        <v>1297</v>
      </c>
      <c r="K148" s="24" t="n">
        <f aca="false">ROUND(AVERAGEIFS(J:J,A:A,A148,B:B,B148)/COUNTIFS(B:B,B148,A:A,A148),0)</f>
        <v>426</v>
      </c>
      <c r="L148" s="25" t="n">
        <f aca="false">K148/SUMIF(A:A,A148,K:K)</f>
        <v>0.123765252760023</v>
      </c>
      <c r="M148" s="1" t="n">
        <f aca="false">ROUND(SUMIF(A:A,A148,J:J)*L148,0)</f>
        <v>975</v>
      </c>
      <c r="N148" s="1" t="str">
        <f aca="false">IF(O148=1,"Yes",IF(AND(O148&gt;1,SUMIFS(L:L,B:B,"&lt;&gt;Green",A:A,A148)+5%&gt;=SUMIFS(L:L,A:A,A148,B:B,"&lt;&gt;Green",O:O,1)),"No","Yes"))</f>
        <v>Yes</v>
      </c>
      <c r="O148" s="1" t="n">
        <f aca="false">COUNTIFS(A:A,A148,P:P,"&gt;"&amp;P148)+1</f>
        <v>1</v>
      </c>
      <c r="P148" s="25" t="n">
        <f aca="false">SUMIFS(L:L,A:A,A148,B:B,B148)</f>
        <v>0.37129575828007</v>
      </c>
    </row>
    <row r="149" customFormat="false" ht="13.8" hidden="false" customHeight="false" outlineLevel="0" collapsed="false">
      <c r="A149" s="1" t="s">
        <v>397</v>
      </c>
      <c r="B149" s="27" t="s">
        <v>241</v>
      </c>
      <c r="C149" s="1" t="s">
        <v>399</v>
      </c>
      <c r="D149" s="1" t="n">
        <v>1446</v>
      </c>
      <c r="E149" s="25" t="n">
        <v>0.507</v>
      </c>
      <c r="F149" s="1" t="n">
        <v>2852</v>
      </c>
      <c r="G149" s="1" t="n">
        <v>10218</v>
      </c>
      <c r="H149" s="28" t="n">
        <f aca="false">ROUND(D149*IF(ISNUMBER(SEARCH("Labour",B149)),National!$L$4,IF(ISNUMBER(SEARCH("Conservative",B149)),National!$L$5,IF(OR(ISNUMBER(SEARCH("Reform",B149)),ISNUMBER(SEARCH("RefUK",B149))),National!$L$6,IF(ISNUMBER(SEARCH("Green",B149)),National!$L$7,IF(OR(ISNUMBER(SEARCH("Liberal Democrat",B149)),ISNUMBER(SEARCH("Lib Dem",B149))),National!$L$8,National!$L$9))))),0)</f>
        <v>945</v>
      </c>
      <c r="I149" s="25" t="n">
        <f aca="false">H149/SUMIFS(H:H,A:A,A149)</f>
        <v>0.163297045101089</v>
      </c>
      <c r="J149" s="29" t="n">
        <f aca="false">ROUND(I149*SUMIF(A:A,A149,D:D),0)</f>
        <v>1286</v>
      </c>
      <c r="K149" s="24" t="n">
        <f aca="false">ROUND(AVERAGEIFS(J:J,A:A,A149,B:B,B149)/COUNTIFS(B:B,B149,A:A,A149),0)</f>
        <v>426</v>
      </c>
      <c r="L149" s="25" t="n">
        <f aca="false">K149/SUMIF(A:A,A149,K:K)</f>
        <v>0.123765252760023</v>
      </c>
      <c r="M149" s="1" t="n">
        <f aca="false">ROUND(SUMIF(A:A,A149,J:J)*L149,0)</f>
        <v>975</v>
      </c>
      <c r="N149" s="1" t="str">
        <f aca="false">IF(O149=1,"Yes",IF(AND(O149&gt;1,SUMIFS(L:L,B:B,"&lt;&gt;Green",A:A,A149)+5%&gt;=SUMIFS(L:L,A:A,A149,B:B,"&lt;&gt;Green",O:O,1)),"No","Yes"))</f>
        <v>Yes</v>
      </c>
      <c r="O149" s="1" t="n">
        <f aca="false">COUNTIFS(A:A,A149,P:P,"&gt;"&amp;P149)+1</f>
        <v>1</v>
      </c>
      <c r="P149" s="25" t="n">
        <f aca="false">SUMIFS(L:L,A:A,A149,B:B,B149)</f>
        <v>0.37129575828007</v>
      </c>
    </row>
    <row r="150" customFormat="false" ht="13.8" hidden="false" customHeight="false" outlineLevel="0" collapsed="false">
      <c r="A150" s="1" t="s">
        <v>397</v>
      </c>
      <c r="B150" s="27" t="s">
        <v>241</v>
      </c>
      <c r="C150" s="1" t="s">
        <v>400</v>
      </c>
      <c r="D150" s="1" t="n">
        <v>1409</v>
      </c>
      <c r="E150" s="25" t="n">
        <v>0.494</v>
      </c>
      <c r="F150" s="1" t="n">
        <v>2852</v>
      </c>
      <c r="G150" s="1" t="n">
        <v>10218</v>
      </c>
      <c r="H150" s="28" t="n">
        <f aca="false">ROUND(D150*IF(ISNUMBER(SEARCH("Labour",B150)),National!$L$4,IF(ISNUMBER(SEARCH("Conservative",B150)),National!$L$5,IF(OR(ISNUMBER(SEARCH("Reform",B150)),ISNUMBER(SEARCH("RefUK",B150))),National!$L$6,IF(ISNUMBER(SEARCH("Green",B150)),National!$L$7,IF(OR(ISNUMBER(SEARCH("Liberal Democrat",B150)),ISNUMBER(SEARCH("Lib Dem",B150))),National!$L$8,National!$L$9))))),0)</f>
        <v>921</v>
      </c>
      <c r="I150" s="25" t="n">
        <f aca="false">H150/SUMIFS(H:H,A:A,A150)</f>
        <v>0.159149818558839</v>
      </c>
      <c r="J150" s="29" t="n">
        <f aca="false">ROUND(I150*SUMIF(A:A,A150,D:D),0)</f>
        <v>1253</v>
      </c>
      <c r="K150" s="24" t="n">
        <f aca="false">ROUND(AVERAGEIFS(J:J,A:A,A150,B:B,B150)/COUNTIFS(B:B,B150,A:A,A150),0)</f>
        <v>426</v>
      </c>
      <c r="L150" s="25" t="n">
        <f aca="false">K150/SUMIF(A:A,A150,K:K)</f>
        <v>0.123765252760023</v>
      </c>
      <c r="M150" s="1" t="n">
        <f aca="false">ROUND(SUMIF(A:A,A150,J:J)*L150,0)</f>
        <v>975</v>
      </c>
      <c r="N150" s="1" t="str">
        <f aca="false">IF(O150=1,"Yes",IF(AND(O150&gt;1,SUMIFS(L:L,B:B,"&lt;&gt;Green",A:A,A150)+5%&gt;=SUMIFS(L:L,A:A,A150,B:B,"&lt;&gt;Green",O:O,1)),"No","Yes"))</f>
        <v>Yes</v>
      </c>
      <c r="O150" s="1" t="n">
        <f aca="false">COUNTIFS(A:A,A150,P:P,"&gt;"&amp;P150)+1</f>
        <v>1</v>
      </c>
      <c r="P150" s="25" t="n">
        <f aca="false">SUMIFS(L:L,A:A,A150,B:B,B150)</f>
        <v>0.37129575828007</v>
      </c>
    </row>
    <row r="151" customFormat="false" ht="13.8" hidden="false" customHeight="false" outlineLevel="0" collapsed="false">
      <c r="A151" s="1" t="s">
        <v>397</v>
      </c>
      <c r="B151" s="27" t="s">
        <v>216</v>
      </c>
      <c r="C151" s="1" t="s">
        <v>401</v>
      </c>
      <c r="D151" s="1" t="n">
        <v>849</v>
      </c>
      <c r="E151" s="25" t="n">
        <v>0.298</v>
      </c>
      <c r="F151" s="1" t="n">
        <v>2852</v>
      </c>
      <c r="G151" s="1" t="n">
        <v>10218</v>
      </c>
      <c r="H151" s="28" t="n">
        <f aca="false">ROUND(D151*IF(ISNUMBER(SEARCH("Labour",B151)),National!$L$4,IF(ISNUMBER(SEARCH("Conservative",B151)),National!$L$5,IF(OR(ISNUMBER(SEARCH("Reform",B151)),ISNUMBER(SEARCH("RefUK",B151))),National!$L$6,IF(ISNUMBER(SEARCH("Green",B151)),National!$L$7,IF(OR(ISNUMBER(SEARCH("Liberal Democrat",B151)),ISNUMBER(SEARCH("Lib Dem",B151))),National!$L$8,National!$L$9))))),0)</f>
        <v>336</v>
      </c>
      <c r="I151" s="25" t="n">
        <f aca="false">H151/SUMIFS(H:H,A:A,A151)</f>
        <v>0.0580611715914982</v>
      </c>
      <c r="J151" s="29" t="n">
        <f aca="false">ROUND(I151*SUMIF(A:A,A151,D:D),0)</f>
        <v>457</v>
      </c>
      <c r="K151" s="24" t="n">
        <f aca="false">ROUND(AVERAGEIFS(J:J,A:A,A151,B:B,B151)/COUNTIFS(B:B,B151,A:A,A151),0)</f>
        <v>142</v>
      </c>
      <c r="L151" s="25" t="n">
        <f aca="false">K151/SUMIF(A:A,A151,K:K)</f>
        <v>0.0412550842533411</v>
      </c>
      <c r="M151" s="1" t="n">
        <f aca="false">ROUND(SUMIF(A:A,A151,J:J)*L151,0)</f>
        <v>325</v>
      </c>
      <c r="N151" s="1" t="str">
        <f aca="false">IF(O151=1,"Yes",IF(AND(O151&gt;1,SUMIFS(L:L,B:B,"&lt;&gt;Green",A:A,A151)+5%&gt;=SUMIFS(L:L,A:A,A151,B:B,"&lt;&gt;Green",O:O,1)),"No","Yes"))</f>
        <v>No</v>
      </c>
      <c r="O151" s="1" t="n">
        <f aca="false">COUNTIFS(A:A,A151,P:P,"&gt;"&amp;P151)+1</f>
        <v>8</v>
      </c>
      <c r="P151" s="25" t="n">
        <f aca="false">SUMIFS(L:L,A:A,A151,B:B,B151)</f>
        <v>0.123765252760023</v>
      </c>
    </row>
    <row r="152" customFormat="false" ht="13.8" hidden="false" customHeight="false" outlineLevel="0" collapsed="false">
      <c r="A152" s="1" t="s">
        <v>397</v>
      </c>
      <c r="B152" s="27" t="s">
        <v>216</v>
      </c>
      <c r="C152" s="1" t="s">
        <v>402</v>
      </c>
      <c r="D152" s="1" t="n">
        <v>786</v>
      </c>
      <c r="E152" s="25" t="n">
        <v>0.276</v>
      </c>
      <c r="F152" s="1" t="n">
        <v>2852</v>
      </c>
      <c r="G152" s="1" t="n">
        <v>10218</v>
      </c>
      <c r="H152" s="28" t="n">
        <f aca="false">ROUND(D152*IF(ISNUMBER(SEARCH("Labour",B152)),National!$L$4,IF(ISNUMBER(SEARCH("Conservative",B152)),National!$L$5,IF(OR(ISNUMBER(SEARCH("Reform",B152)),ISNUMBER(SEARCH("RefUK",B152))),National!$L$6,IF(ISNUMBER(SEARCH("Green",B152)),National!$L$7,IF(OR(ISNUMBER(SEARCH("Liberal Democrat",B152)),ISNUMBER(SEARCH("Lib Dem",B152))),National!$L$8,National!$L$9))))),0)</f>
        <v>311</v>
      </c>
      <c r="I152" s="25" t="n">
        <f aca="false">H152/SUMIFS(H:H,A:A,A152)</f>
        <v>0.0537411439433212</v>
      </c>
      <c r="J152" s="29" t="n">
        <f aca="false">ROUND(I152*SUMIF(A:A,A152,D:D),0)</f>
        <v>423</v>
      </c>
      <c r="K152" s="24" t="n">
        <f aca="false">ROUND(AVERAGEIFS(J:J,A:A,A152,B:B,B152)/COUNTIFS(B:B,B152,A:A,A152),0)</f>
        <v>142</v>
      </c>
      <c r="L152" s="25" t="n">
        <f aca="false">K152/SUMIF(A:A,A152,K:K)</f>
        <v>0.0412550842533411</v>
      </c>
      <c r="M152" s="1" t="n">
        <f aca="false">ROUND(SUMIF(A:A,A152,J:J)*L152,0)</f>
        <v>325</v>
      </c>
      <c r="N152" s="1" t="str">
        <f aca="false">IF(O152=1,"Yes",IF(AND(O152&gt;1,SUMIFS(L:L,B:B,"&lt;&gt;Green",A:A,A152)+5%&gt;=SUMIFS(L:L,A:A,A152,B:B,"&lt;&gt;Green",O:O,1)),"No","Yes"))</f>
        <v>No</v>
      </c>
      <c r="O152" s="1" t="n">
        <f aca="false">COUNTIFS(A:A,A152,P:P,"&gt;"&amp;P152)+1</f>
        <v>8</v>
      </c>
      <c r="P152" s="25" t="n">
        <f aca="false">SUMIFS(L:L,A:A,A152,B:B,B152)</f>
        <v>0.123765252760023</v>
      </c>
    </row>
    <row r="153" customFormat="false" ht="13.8" hidden="false" customHeight="false" outlineLevel="0" collapsed="false">
      <c r="A153" s="1" t="s">
        <v>397</v>
      </c>
      <c r="B153" s="27" t="s">
        <v>216</v>
      </c>
      <c r="C153" s="1" t="s">
        <v>173</v>
      </c>
      <c r="D153" s="1" t="n">
        <v>742</v>
      </c>
      <c r="E153" s="25" t="n">
        <v>0.26</v>
      </c>
      <c r="F153" s="1" t="n">
        <v>2852</v>
      </c>
      <c r="G153" s="1" t="n">
        <v>10218</v>
      </c>
      <c r="H153" s="28" t="n">
        <f aca="false">ROUND(D153*IF(ISNUMBER(SEARCH("Labour",B153)),National!$L$4,IF(ISNUMBER(SEARCH("Conservative",B153)),National!$L$5,IF(OR(ISNUMBER(SEARCH("Reform",B153)),ISNUMBER(SEARCH("RefUK",B153))),National!$L$6,IF(ISNUMBER(SEARCH("Green",B153)),National!$L$7,IF(OR(ISNUMBER(SEARCH("Liberal Democrat",B153)),ISNUMBER(SEARCH("Lib Dem",B153))),National!$L$8,National!$L$9))))),0)</f>
        <v>293</v>
      </c>
      <c r="I153" s="25" t="n">
        <f aca="false">H153/SUMIFS(H:H,A:A,A153)</f>
        <v>0.0506307240366338</v>
      </c>
      <c r="J153" s="29" t="n">
        <f aca="false">ROUND(I153*SUMIF(A:A,A153,D:D),0)</f>
        <v>399</v>
      </c>
      <c r="K153" s="24" t="n">
        <f aca="false">ROUND(AVERAGEIFS(J:J,A:A,A153,B:B,B153)/COUNTIFS(B:B,B153,A:A,A153),0)</f>
        <v>142</v>
      </c>
      <c r="L153" s="25" t="n">
        <f aca="false">K153/SUMIF(A:A,A153,K:K)</f>
        <v>0.0412550842533411</v>
      </c>
      <c r="M153" s="1" t="n">
        <f aca="false">ROUND(SUMIF(A:A,A153,J:J)*L153,0)</f>
        <v>325</v>
      </c>
      <c r="N153" s="1" t="str">
        <f aca="false">IF(O153=1,"Yes",IF(AND(O153&gt;1,SUMIFS(L:L,B:B,"&lt;&gt;Green",A:A,A153)+5%&gt;=SUMIFS(L:L,A:A,A153,B:B,"&lt;&gt;Green",O:O,1)),"No","Yes"))</f>
        <v>No</v>
      </c>
      <c r="O153" s="1" t="n">
        <f aca="false">COUNTIFS(A:A,A153,P:P,"&gt;"&amp;P153)+1</f>
        <v>8</v>
      </c>
      <c r="P153" s="25" t="n">
        <f aca="false">SUMIFS(L:L,A:A,A153,B:B,B153)</f>
        <v>0.123765252760023</v>
      </c>
    </row>
    <row r="154" customFormat="false" ht="13.8" hidden="false" customHeight="false" outlineLevel="0" collapsed="false">
      <c r="A154" s="1" t="s">
        <v>397</v>
      </c>
      <c r="B154" s="30" t="s">
        <v>219</v>
      </c>
      <c r="C154" s="1" t="s">
        <v>403</v>
      </c>
      <c r="D154" s="1" t="n">
        <v>379</v>
      </c>
      <c r="E154" s="25" t="n">
        <v>0.133</v>
      </c>
      <c r="F154" s="1" t="n">
        <v>2852</v>
      </c>
      <c r="G154" s="1" t="n">
        <v>10218</v>
      </c>
      <c r="H154" s="28" t="n">
        <f aca="false">ROUND(D154*IF(ISNUMBER(SEARCH("Labour",B154)),National!$L$4,IF(ISNUMBER(SEARCH("Conservative",B154)),National!$L$5,IF(OR(ISNUMBER(SEARCH("Reform",B154)),ISNUMBER(SEARCH("RefUK",B154))),National!$L$6,IF(ISNUMBER(SEARCH("Green",B154)),National!$L$7,IF(OR(ISNUMBER(SEARCH("Liberal Democrat",B154)),ISNUMBER(SEARCH("Lib Dem",B154))),National!$L$8,National!$L$9))))),0)</f>
        <v>900</v>
      </c>
      <c r="I154" s="25" t="n">
        <f aca="false">H154/SUMIFS(H:H,A:A,A154)</f>
        <v>0.15552099533437</v>
      </c>
      <c r="J154" s="29" t="n">
        <f aca="false">ROUND(I154*SUMIF(A:A,A154,D:D),0)</f>
        <v>1225</v>
      </c>
      <c r="K154" s="24" t="n">
        <f aca="false">ROUND(AVERAGEIFS(J:J,A:A,A154,B:B,B154)/COUNTIFS(B:B,B154,A:A,A154),0)</f>
        <v>1225</v>
      </c>
      <c r="L154" s="25" t="n">
        <f aca="false">K154/SUMIF(A:A,A154,K:K)</f>
        <v>0.355897733875654</v>
      </c>
      <c r="M154" s="1" t="n">
        <f aca="false">ROUND(SUMIF(A:A,A154,J:J)*L154,0)</f>
        <v>2803</v>
      </c>
      <c r="N154" s="1" t="str">
        <f aca="false">IF(O154=1,"Yes",IF(AND(O154&gt;1,SUMIFS(L:L,B:B,"&lt;&gt;Green",A:A,A154)+5%&gt;=SUMIFS(L:L,A:A,A154,B:B,"&lt;&gt;Green",O:O,1)),"No","Yes"))</f>
        <v>No</v>
      </c>
      <c r="O154" s="1" t="n">
        <f aca="false">COUNTIFS(A:A,A154,P:P,"&gt;"&amp;P154)+1</f>
        <v>4</v>
      </c>
      <c r="P154" s="25" t="n">
        <f aca="false">SUMIFS(L:L,A:A,A154,B:B,B154)</f>
        <v>0.355897733875654</v>
      </c>
    </row>
    <row r="155" customFormat="false" ht="13.8" hidden="false" customHeight="false" outlineLevel="0" collapsed="false">
      <c r="A155" s="1" t="s">
        <v>397</v>
      </c>
      <c r="B155" s="27" t="s">
        <v>19</v>
      </c>
      <c r="C155" s="1" t="s">
        <v>404</v>
      </c>
      <c r="D155" s="1" t="n">
        <v>304</v>
      </c>
      <c r="E155" s="25" t="n">
        <v>0.107</v>
      </c>
      <c r="F155" s="1" t="n">
        <v>2852</v>
      </c>
      <c r="G155" s="1" t="n">
        <v>10218</v>
      </c>
      <c r="H155" s="28" t="n">
        <f aca="false">ROUND(D155*IF(ISNUMBER(SEARCH("Labour",B155)),National!$L$4,IF(ISNUMBER(SEARCH("Conservative",B155)),National!$L$5,IF(OR(ISNUMBER(SEARCH("Reform",B155)),ISNUMBER(SEARCH("RefUK",B155))),National!$L$6,IF(ISNUMBER(SEARCH("Green",B155)),National!$L$7,IF(OR(ISNUMBER(SEARCH("Liberal Democrat",B155)),ISNUMBER(SEARCH("Lib Dem",B155))),National!$L$8,National!$L$9))))),0)</f>
        <v>426</v>
      </c>
      <c r="I155" s="25" t="n">
        <f aca="false">H155/SUMIFS(H:H,A:A,A155)</f>
        <v>0.0736132711249352</v>
      </c>
      <c r="J155" s="29" t="n">
        <f aca="false">ROUND(I155*SUMIF(A:A,A155,D:D),0)</f>
        <v>580</v>
      </c>
      <c r="K155" s="24" t="n">
        <f aca="false">ROUND(AVERAGEIFS(J:J,A:A,A155,B:B,B155)/COUNTIFS(B:B,B155,A:A,A155),0)</f>
        <v>171</v>
      </c>
      <c r="L155" s="25" t="n">
        <f aca="false">K155/SUMIF(A:A,A155,K:K)</f>
        <v>0.0496804183614178</v>
      </c>
      <c r="M155" s="1" t="n">
        <f aca="false">ROUND(SUMIF(A:A,A155,J:J)*L155,0)</f>
        <v>391</v>
      </c>
      <c r="N155" s="1" t="str">
        <f aca="false">IF(O155=1,"Yes",IF(AND(O155&gt;1,SUMIFS(L:L,B:B,"&lt;&gt;Green",A:A,A155)+5%&gt;=SUMIFS(L:L,A:A,A155,B:B,"&lt;&gt;Green",O:O,1)),"No","Yes"))</f>
        <v>No</v>
      </c>
      <c r="O155" s="1" t="n">
        <f aca="false">COUNTIFS(A:A,A155,P:P,"&gt;"&amp;P155)+1</f>
        <v>5</v>
      </c>
      <c r="P155" s="25" t="n">
        <f aca="false">SUMIFS(L:L,A:A,A155,B:B,B155)</f>
        <v>0.149041255084253</v>
      </c>
    </row>
    <row r="156" customFormat="false" ht="13.8" hidden="false" customHeight="false" outlineLevel="0" collapsed="false">
      <c r="A156" s="1" t="s">
        <v>397</v>
      </c>
      <c r="B156" s="27" t="s">
        <v>19</v>
      </c>
      <c r="C156" s="1" t="s">
        <v>405</v>
      </c>
      <c r="D156" s="1" t="n">
        <v>282</v>
      </c>
      <c r="E156" s="25" t="n">
        <v>0.099</v>
      </c>
      <c r="F156" s="1" t="n">
        <v>2852</v>
      </c>
      <c r="G156" s="1" t="n">
        <v>10218</v>
      </c>
      <c r="H156" s="28" t="n">
        <f aca="false">ROUND(D156*IF(ISNUMBER(SEARCH("Labour",B156)),National!$L$4,IF(ISNUMBER(SEARCH("Conservative",B156)),National!$L$5,IF(OR(ISNUMBER(SEARCH("Reform",B156)),ISNUMBER(SEARCH("RefUK",B156))),National!$L$6,IF(ISNUMBER(SEARCH("Green",B156)),National!$L$7,IF(OR(ISNUMBER(SEARCH("Liberal Democrat",B156)),ISNUMBER(SEARCH("Lib Dem",B156))),National!$L$8,National!$L$9))))),0)</f>
        <v>395</v>
      </c>
      <c r="I156" s="25" t="n">
        <f aca="false">H156/SUMIFS(H:H,A:A,A156)</f>
        <v>0.0682564368411958</v>
      </c>
      <c r="J156" s="29" t="n">
        <f aca="false">ROUND(I156*SUMIF(A:A,A156,D:D),0)</f>
        <v>537</v>
      </c>
      <c r="K156" s="24" t="n">
        <f aca="false">ROUND(AVERAGEIFS(J:J,A:A,A156,B:B,B156)/COUNTIFS(B:B,B156,A:A,A156),0)</f>
        <v>171</v>
      </c>
      <c r="L156" s="25" t="n">
        <f aca="false">K156/SUMIF(A:A,A156,K:K)</f>
        <v>0.0496804183614178</v>
      </c>
      <c r="M156" s="1" t="n">
        <f aca="false">ROUND(SUMIF(A:A,A156,J:J)*L156,0)</f>
        <v>391</v>
      </c>
      <c r="N156" s="1" t="str">
        <f aca="false">IF(O156=1,"Yes",IF(AND(O156&gt;1,SUMIFS(L:L,B:B,"&lt;&gt;Green",A:A,A156)+5%&gt;=SUMIFS(L:L,A:A,A156,B:B,"&lt;&gt;Green",O:O,1)),"No","Yes"))</f>
        <v>No</v>
      </c>
      <c r="O156" s="1" t="n">
        <f aca="false">COUNTIFS(A:A,A156,P:P,"&gt;"&amp;P156)+1</f>
        <v>5</v>
      </c>
      <c r="P156" s="25" t="n">
        <f aca="false">SUMIFS(L:L,A:A,A156,B:B,B156)</f>
        <v>0.149041255084253</v>
      </c>
    </row>
    <row r="157" customFormat="false" ht="13.8" hidden="false" customHeight="false" outlineLevel="0" collapsed="false">
      <c r="A157" s="1" t="s">
        <v>397</v>
      </c>
      <c r="B157" s="27" t="s">
        <v>19</v>
      </c>
      <c r="C157" s="1" t="s">
        <v>406</v>
      </c>
      <c r="D157" s="1" t="n">
        <v>219</v>
      </c>
      <c r="E157" s="25" t="n">
        <v>0.077</v>
      </c>
      <c r="F157" s="1" t="n">
        <v>2852</v>
      </c>
      <c r="G157" s="1" t="n">
        <v>10218</v>
      </c>
      <c r="H157" s="28" t="n">
        <f aca="false">ROUND(D157*IF(ISNUMBER(SEARCH("Labour",B157)),National!$L$4,IF(ISNUMBER(SEARCH("Conservative",B157)),National!$L$5,IF(OR(ISNUMBER(SEARCH("Reform",B157)),ISNUMBER(SEARCH("RefUK",B157))),National!$L$6,IF(ISNUMBER(SEARCH("Green",B157)),National!$L$7,IF(OR(ISNUMBER(SEARCH("Liberal Democrat",B157)),ISNUMBER(SEARCH("Lib Dem",B157))),National!$L$8,National!$L$9))))),0)</f>
        <v>307</v>
      </c>
      <c r="I157" s="25" t="n">
        <f aca="false">H157/SUMIFS(H:H,A:A,A157)</f>
        <v>0.0530499395196129</v>
      </c>
      <c r="J157" s="29" t="n">
        <f aca="false">ROUND(I157*SUMIF(A:A,A157,D:D),0)</f>
        <v>418</v>
      </c>
      <c r="K157" s="24" t="n">
        <f aca="false">ROUND(AVERAGEIFS(J:J,A:A,A157,B:B,B157)/COUNTIFS(B:B,B157,A:A,A157),0)</f>
        <v>171</v>
      </c>
      <c r="L157" s="25" t="n">
        <f aca="false">K157/SUMIF(A:A,A157,K:K)</f>
        <v>0.0496804183614178</v>
      </c>
      <c r="M157" s="1" t="n">
        <f aca="false">ROUND(SUMIF(A:A,A157,J:J)*L157,0)</f>
        <v>391</v>
      </c>
      <c r="N157" s="1" t="str">
        <f aca="false">IF(O157=1,"Yes",IF(AND(O157&gt;1,SUMIFS(L:L,B:B,"&lt;&gt;Green",A:A,A157)+5%&gt;=SUMIFS(L:L,A:A,A157,B:B,"&lt;&gt;Green",O:O,1)),"No","Yes"))</f>
        <v>No</v>
      </c>
      <c r="O157" s="1" t="n">
        <f aca="false">COUNTIFS(A:A,A157,P:P,"&gt;"&amp;P157)+1</f>
        <v>5</v>
      </c>
      <c r="P157" s="25" t="n">
        <f aca="false">SUMIFS(L:L,A:A,A157,B:B,B157)</f>
        <v>0.149041255084253</v>
      </c>
    </row>
    <row r="158" customFormat="false" ht="13.8" hidden="false" customHeight="false" outlineLevel="0" collapsed="false">
      <c r="A158" s="1" t="s">
        <v>407</v>
      </c>
      <c r="B158" s="27" t="s">
        <v>249</v>
      </c>
      <c r="C158" s="1" t="s">
        <v>408</v>
      </c>
      <c r="D158" s="1" t="n">
        <v>1338</v>
      </c>
      <c r="E158" s="25" t="n">
        <v>0.504</v>
      </c>
      <c r="F158" s="1" t="n">
        <v>2656</v>
      </c>
      <c r="G158" s="1" t="n">
        <v>10150</v>
      </c>
      <c r="H158" s="28" t="n">
        <f aca="false">ROUND(D158*IF(ISNUMBER(SEARCH("Labour",B158)),National!$L$4,IF(ISNUMBER(SEARCH("Conservative",B158)),National!$L$5,IF(OR(ISNUMBER(SEARCH("Reform",B158)),ISNUMBER(SEARCH("RefUK",B158))),National!$L$6,IF(ISNUMBER(SEARCH("Green",B158)),National!$L$7,IF(OR(ISNUMBER(SEARCH("Liberal Democrat",B158)),ISNUMBER(SEARCH("Lib Dem",B158))),National!$L$8,National!$L$9))))),0)</f>
        <v>529</v>
      </c>
      <c r="I158" s="25" t="n">
        <f aca="false">H158/SUMIFS(H:H,A:A,A158)</f>
        <v>0.118397493285586</v>
      </c>
      <c r="J158" s="29" t="n">
        <f aca="false">ROUND(I158*SUMIF(A:A,A158,D:D),0)</f>
        <v>873</v>
      </c>
      <c r="K158" s="24" t="n">
        <f aca="false">ROUND(AVERAGEIFS(J:J,A:A,A158,B:B,B158)/COUNTIFS(B:B,B158,A:A,A158),0)</f>
        <v>280</v>
      </c>
      <c r="L158" s="25" t="n">
        <f aca="false">K158/SUMIF(A:A,A158,K:K)</f>
        <v>0.0781468043538934</v>
      </c>
      <c r="M158" s="1" t="n">
        <f aca="false">ROUND(SUMIF(A:A,A158,J:J)*L158,0)</f>
        <v>576</v>
      </c>
      <c r="N158" s="1" t="str">
        <f aca="false">IF(O158=1,"Yes",IF(AND(O158&gt;1,SUMIFS(L:L,B:B,"&lt;&gt;Green",A:A,A158)+5%&gt;=SUMIFS(L:L,A:A,A158,B:B,"&lt;&gt;Green",O:O,1)),"No","Yes"))</f>
        <v>No</v>
      </c>
      <c r="O158" s="1" t="n">
        <f aca="false">COUNTIFS(A:A,A158,P:P,"&gt;"&amp;P158)+1</f>
        <v>5</v>
      </c>
      <c r="P158" s="25" t="n">
        <f aca="false">SUMIFS(L:L,A:A,A158,B:B,B158)</f>
        <v>0.23444041306168</v>
      </c>
    </row>
    <row r="159" customFormat="false" ht="13.8" hidden="false" customHeight="false" outlineLevel="0" collapsed="false">
      <c r="A159" s="1" t="s">
        <v>407</v>
      </c>
      <c r="B159" s="27" t="s">
        <v>249</v>
      </c>
      <c r="C159" s="1" t="s">
        <v>409</v>
      </c>
      <c r="D159" s="1" t="n">
        <v>1291</v>
      </c>
      <c r="E159" s="25" t="n">
        <v>0.486</v>
      </c>
      <c r="F159" s="1" t="n">
        <v>2656</v>
      </c>
      <c r="G159" s="1" t="n">
        <v>10150</v>
      </c>
      <c r="H159" s="28" t="n">
        <f aca="false">ROUND(D159*IF(ISNUMBER(SEARCH("Labour",B159)),National!$L$4,IF(ISNUMBER(SEARCH("Conservative",B159)),National!$L$5,IF(OR(ISNUMBER(SEARCH("Reform",B159)),ISNUMBER(SEARCH("RefUK",B159))),National!$L$6,IF(ISNUMBER(SEARCH("Green",B159)),National!$L$7,IF(OR(ISNUMBER(SEARCH("Liberal Democrat",B159)),ISNUMBER(SEARCH("Lib Dem",B159))),National!$L$8,National!$L$9))))),0)</f>
        <v>510</v>
      </c>
      <c r="I159" s="25" t="n">
        <f aca="false">H159/SUMIFS(H:H,A:A,A159)</f>
        <v>0.11414503133393</v>
      </c>
      <c r="J159" s="29" t="n">
        <f aca="false">ROUND(I159*SUMIF(A:A,A159,D:D),0)</f>
        <v>842</v>
      </c>
      <c r="K159" s="24" t="n">
        <f aca="false">ROUND(AVERAGEIFS(J:J,A:A,A159,B:B,B159)/COUNTIFS(B:B,B159,A:A,A159),0)</f>
        <v>280</v>
      </c>
      <c r="L159" s="25" t="n">
        <f aca="false">K159/SUMIF(A:A,A159,K:K)</f>
        <v>0.0781468043538934</v>
      </c>
      <c r="M159" s="1" t="n">
        <f aca="false">ROUND(SUMIF(A:A,A159,J:J)*L159,0)</f>
        <v>576</v>
      </c>
      <c r="N159" s="1" t="str">
        <f aca="false">IF(O159=1,"Yes",IF(AND(O159&gt;1,SUMIFS(L:L,B:B,"&lt;&gt;Green",A:A,A159)+5%&gt;=SUMIFS(L:L,A:A,A159,B:B,"&lt;&gt;Green",O:O,1)),"No","Yes"))</f>
        <v>No</v>
      </c>
      <c r="O159" s="1" t="n">
        <f aca="false">COUNTIFS(A:A,A159,P:P,"&gt;"&amp;P159)+1</f>
        <v>5</v>
      </c>
      <c r="P159" s="25" t="n">
        <f aca="false">SUMIFS(L:L,A:A,A159,B:B,B159)</f>
        <v>0.23444041306168</v>
      </c>
    </row>
    <row r="160" customFormat="false" ht="13.8" hidden="false" customHeight="false" outlineLevel="0" collapsed="false">
      <c r="A160" s="1" t="s">
        <v>407</v>
      </c>
      <c r="B160" s="27" t="s">
        <v>249</v>
      </c>
      <c r="C160" s="1" t="s">
        <v>410</v>
      </c>
      <c r="D160" s="1" t="n">
        <v>1236</v>
      </c>
      <c r="E160" s="25" t="n">
        <v>0.465</v>
      </c>
      <c r="F160" s="1" t="n">
        <v>2656</v>
      </c>
      <c r="G160" s="1" t="n">
        <v>10150</v>
      </c>
      <c r="H160" s="28" t="n">
        <f aca="false">ROUND(D160*IF(ISNUMBER(SEARCH("Labour",B160)),National!$L$4,IF(ISNUMBER(SEARCH("Conservative",B160)),National!$L$5,IF(OR(ISNUMBER(SEARCH("Reform",B160)),ISNUMBER(SEARCH("RefUK",B160))),National!$L$6,IF(ISNUMBER(SEARCH("Green",B160)),National!$L$7,IF(OR(ISNUMBER(SEARCH("Liberal Democrat",B160)),ISNUMBER(SEARCH("Lib Dem",B160))),National!$L$8,National!$L$9))))),0)</f>
        <v>489</v>
      </c>
      <c r="I160" s="25" t="n">
        <f aca="false">H160/SUMIFS(H:H,A:A,A160)</f>
        <v>0.109444941808415</v>
      </c>
      <c r="J160" s="29" t="n">
        <f aca="false">ROUND(I160*SUMIF(A:A,A160,D:D),0)</f>
        <v>807</v>
      </c>
      <c r="K160" s="24" t="n">
        <f aca="false">ROUND(AVERAGEIFS(J:J,A:A,A160,B:B,B160)/COUNTIFS(B:B,B160,A:A,A160),0)</f>
        <v>280</v>
      </c>
      <c r="L160" s="25" t="n">
        <f aca="false">K160/SUMIF(A:A,A160,K:K)</f>
        <v>0.0781468043538934</v>
      </c>
      <c r="M160" s="1" t="n">
        <f aca="false">ROUND(SUMIF(A:A,A160,J:J)*L160,0)</f>
        <v>576</v>
      </c>
      <c r="N160" s="1" t="str">
        <f aca="false">IF(O160=1,"Yes",IF(AND(O160&gt;1,SUMIFS(L:L,B:B,"&lt;&gt;Green",A:A,A160)+5%&gt;=SUMIFS(L:L,A:A,A160,B:B,"&lt;&gt;Green",O:O,1)),"No","Yes"))</f>
        <v>No</v>
      </c>
      <c r="O160" s="1" t="n">
        <f aca="false">COUNTIFS(A:A,A160,P:P,"&gt;"&amp;P160)+1</f>
        <v>5</v>
      </c>
      <c r="P160" s="25" t="n">
        <f aca="false">SUMIFS(L:L,A:A,A160,B:B,B160)</f>
        <v>0.23444041306168</v>
      </c>
    </row>
    <row r="161" customFormat="false" ht="13.8" hidden="false" customHeight="false" outlineLevel="0" collapsed="false">
      <c r="A161" s="1" t="s">
        <v>407</v>
      </c>
      <c r="B161" s="27" t="s">
        <v>241</v>
      </c>
      <c r="C161" s="1" t="s">
        <v>411</v>
      </c>
      <c r="D161" s="1" t="n">
        <v>991</v>
      </c>
      <c r="E161" s="25" t="n">
        <v>0.373</v>
      </c>
      <c r="F161" s="1" t="n">
        <v>2656</v>
      </c>
      <c r="G161" s="1" t="n">
        <v>10150</v>
      </c>
      <c r="H161" s="28" t="n">
        <f aca="false">ROUND(D161*IF(ISNUMBER(SEARCH("Labour",B161)),National!$L$4,IF(ISNUMBER(SEARCH("Conservative",B161)),National!$L$5,IF(OR(ISNUMBER(SEARCH("Reform",B161)),ISNUMBER(SEARCH("RefUK",B161))),National!$L$6,IF(ISNUMBER(SEARCH("Green",B161)),National!$L$7,IF(OR(ISNUMBER(SEARCH("Liberal Democrat",B161)),ISNUMBER(SEARCH("Lib Dem",B161))),National!$L$8,National!$L$9))))),0)</f>
        <v>648</v>
      </c>
      <c r="I161" s="25" t="n">
        <f aca="false">H161/SUMIFS(H:H,A:A,A161)</f>
        <v>0.14503133393017</v>
      </c>
      <c r="J161" s="29" t="n">
        <f aca="false">ROUND(I161*SUMIF(A:A,A161,D:D),0)</f>
        <v>1069</v>
      </c>
      <c r="K161" s="24" t="n">
        <f aca="false">ROUND(AVERAGEIFS(J:J,A:A,A161,B:B,B161)/COUNTIFS(B:B,B161,A:A,A161),0)</f>
        <v>352</v>
      </c>
      <c r="L161" s="25" t="n">
        <f aca="false">K161/SUMIF(A:A,A161,K:K)</f>
        <v>0.0982416969020374</v>
      </c>
      <c r="M161" s="1" t="n">
        <f aca="false">ROUND(SUMIF(A:A,A161,J:J)*L161,0)</f>
        <v>724</v>
      </c>
      <c r="N161" s="1" t="str">
        <f aca="false">IF(O161=1,"Yes",IF(AND(O161&gt;1,SUMIFS(L:L,B:B,"&lt;&gt;Green",A:A,A161)+5%&gt;=SUMIFS(L:L,A:A,A161,B:B,"&lt;&gt;Green",O:O,1)),"No","Yes"))</f>
        <v>Yes</v>
      </c>
      <c r="O161" s="1" t="n">
        <f aca="false">COUNTIFS(A:A,A161,P:P,"&gt;"&amp;P161)+1</f>
        <v>1</v>
      </c>
      <c r="P161" s="25" t="n">
        <f aca="false">SUMIFS(L:L,A:A,A161,B:B,B161)</f>
        <v>0.294725090706112</v>
      </c>
    </row>
    <row r="162" customFormat="false" ht="13.8" hidden="false" customHeight="false" outlineLevel="0" collapsed="false">
      <c r="A162" s="1" t="s">
        <v>407</v>
      </c>
      <c r="B162" s="27" t="s">
        <v>241</v>
      </c>
      <c r="C162" s="1" t="s">
        <v>412</v>
      </c>
      <c r="D162" s="1" t="n">
        <v>972</v>
      </c>
      <c r="E162" s="25" t="n">
        <v>0.366</v>
      </c>
      <c r="F162" s="1" t="n">
        <v>2656</v>
      </c>
      <c r="G162" s="1" t="n">
        <v>10150</v>
      </c>
      <c r="H162" s="28" t="n">
        <f aca="false">ROUND(D162*IF(ISNUMBER(SEARCH("Labour",B162)),National!$L$4,IF(ISNUMBER(SEARCH("Conservative",B162)),National!$L$5,IF(OR(ISNUMBER(SEARCH("Reform",B162)),ISNUMBER(SEARCH("RefUK",B162))),National!$L$6,IF(ISNUMBER(SEARCH("Green",B162)),National!$L$7,IF(OR(ISNUMBER(SEARCH("Liberal Democrat",B162)),ISNUMBER(SEARCH("Lib Dem",B162))),National!$L$8,National!$L$9))))),0)</f>
        <v>636</v>
      </c>
      <c r="I162" s="25" t="n">
        <f aca="false">H162/SUMIFS(H:H,A:A,A162)</f>
        <v>0.142345568487019</v>
      </c>
      <c r="J162" s="29" t="n">
        <f aca="false">ROUND(I162*SUMIF(A:A,A162,D:D),0)</f>
        <v>1050</v>
      </c>
      <c r="K162" s="24" t="n">
        <f aca="false">ROUND(AVERAGEIFS(J:J,A:A,A162,B:B,B162)/COUNTIFS(B:B,B162,A:A,A162),0)</f>
        <v>352</v>
      </c>
      <c r="L162" s="25" t="n">
        <f aca="false">K162/SUMIF(A:A,A162,K:K)</f>
        <v>0.0982416969020374</v>
      </c>
      <c r="M162" s="1" t="n">
        <f aca="false">ROUND(SUMIF(A:A,A162,J:J)*L162,0)</f>
        <v>724</v>
      </c>
      <c r="N162" s="1" t="str">
        <f aca="false">IF(O162=1,"Yes",IF(AND(O162&gt;1,SUMIFS(L:L,B:B,"&lt;&gt;Green",A:A,A162)+5%&gt;=SUMIFS(L:L,A:A,A162,B:B,"&lt;&gt;Green",O:O,1)),"No","Yes"))</f>
        <v>Yes</v>
      </c>
      <c r="O162" s="1" t="n">
        <f aca="false">COUNTIFS(A:A,A162,P:P,"&gt;"&amp;P162)+1</f>
        <v>1</v>
      </c>
      <c r="P162" s="25" t="n">
        <f aca="false">SUMIFS(L:L,A:A,A162,B:B,B162)</f>
        <v>0.294725090706112</v>
      </c>
    </row>
    <row r="163" customFormat="false" ht="13.8" hidden="false" customHeight="false" outlineLevel="0" collapsed="false">
      <c r="A163" s="1" t="s">
        <v>407</v>
      </c>
      <c r="B163" s="27" t="s">
        <v>241</v>
      </c>
      <c r="C163" s="1" t="s">
        <v>413</v>
      </c>
      <c r="D163" s="1" t="n">
        <v>970</v>
      </c>
      <c r="E163" s="25" t="n">
        <v>0.365</v>
      </c>
      <c r="F163" s="1" t="n">
        <v>2656</v>
      </c>
      <c r="G163" s="1" t="n">
        <v>10150</v>
      </c>
      <c r="H163" s="28" t="n">
        <f aca="false">ROUND(D163*IF(ISNUMBER(SEARCH("Labour",B163)),National!$L$4,IF(ISNUMBER(SEARCH("Conservative",B163)),National!$L$5,IF(OR(ISNUMBER(SEARCH("Reform",B163)),ISNUMBER(SEARCH("RefUK",B163))),National!$L$6,IF(ISNUMBER(SEARCH("Green",B163)),National!$L$7,IF(OR(ISNUMBER(SEARCH("Liberal Democrat",B163)),ISNUMBER(SEARCH("Lib Dem",B163))),National!$L$8,National!$L$9))))),0)</f>
        <v>634</v>
      </c>
      <c r="I163" s="25" t="n">
        <f aca="false">H163/SUMIFS(H:H,A:A,A163)</f>
        <v>0.14189794091316</v>
      </c>
      <c r="J163" s="29" t="n">
        <f aca="false">ROUND(I163*SUMIF(A:A,A163,D:D),0)</f>
        <v>1046</v>
      </c>
      <c r="K163" s="24" t="n">
        <f aca="false">ROUND(AVERAGEIFS(J:J,A:A,A163,B:B,B163)/COUNTIFS(B:B,B163,A:A,A163),0)</f>
        <v>352</v>
      </c>
      <c r="L163" s="25" t="n">
        <f aca="false">K163/SUMIF(A:A,A163,K:K)</f>
        <v>0.0982416969020374</v>
      </c>
      <c r="M163" s="1" t="n">
        <f aca="false">ROUND(SUMIF(A:A,A163,J:J)*L163,0)</f>
        <v>724</v>
      </c>
      <c r="N163" s="1" t="str">
        <f aca="false">IF(O163=1,"Yes",IF(AND(O163&gt;1,SUMIFS(L:L,B:B,"&lt;&gt;Green",A:A,A163)+5%&gt;=SUMIFS(L:L,A:A,A163,B:B,"&lt;&gt;Green",O:O,1)),"No","Yes"))</f>
        <v>Yes</v>
      </c>
      <c r="O163" s="1" t="n">
        <f aca="false">COUNTIFS(A:A,A163,P:P,"&gt;"&amp;P163)+1</f>
        <v>1</v>
      </c>
      <c r="P163" s="25" t="n">
        <f aca="false">SUMIFS(L:L,A:A,A163,B:B,B163)</f>
        <v>0.294725090706112</v>
      </c>
    </row>
    <row r="164" customFormat="false" ht="13.8" hidden="false" customHeight="false" outlineLevel="0" collapsed="false">
      <c r="A164" s="1" t="s">
        <v>407</v>
      </c>
      <c r="B164" s="30" t="s">
        <v>219</v>
      </c>
      <c r="C164" s="1" t="s">
        <v>187</v>
      </c>
      <c r="D164" s="1" t="n">
        <v>262</v>
      </c>
      <c r="E164" s="25" t="n">
        <v>0.099</v>
      </c>
      <c r="F164" s="1" t="n">
        <v>2656</v>
      </c>
      <c r="G164" s="1" t="n">
        <v>10150</v>
      </c>
      <c r="H164" s="28" t="n">
        <f aca="false">ROUND(D164*IF(ISNUMBER(SEARCH("Labour",B164)),National!$L$4,IF(ISNUMBER(SEARCH("Conservative",B164)),National!$L$5,IF(OR(ISNUMBER(SEARCH("Reform",B164)),ISNUMBER(SEARCH("RefUK",B164))),National!$L$6,IF(ISNUMBER(SEARCH("Green",B164)),National!$L$7,IF(OR(ISNUMBER(SEARCH("Liberal Democrat",B164)),ISNUMBER(SEARCH("Lib Dem",B164))),National!$L$8,National!$L$9))))),0)</f>
        <v>622</v>
      </c>
      <c r="I164" s="25" t="n">
        <f aca="false">H164/SUMIFS(H:H,A:A,A164)</f>
        <v>0.139212175470009</v>
      </c>
      <c r="J164" s="29" t="n">
        <f aca="false">ROUND(I164*SUMIF(A:A,A164,D:D),0)</f>
        <v>1027</v>
      </c>
      <c r="K164" s="24" t="n">
        <f aca="false">ROUND(AVERAGEIFS(J:J,A:A,A164,B:B,B164)/COUNTIFS(B:B,B164,A:A,A164),0)</f>
        <v>1027</v>
      </c>
      <c r="L164" s="25" t="n">
        <f aca="false">K164/SUMIF(A:A,A164,K:K)</f>
        <v>0.286631314540888</v>
      </c>
      <c r="M164" s="1" t="n">
        <f aca="false">ROUND(SUMIF(A:A,A164,J:J)*L164,0)</f>
        <v>2114</v>
      </c>
      <c r="N164" s="1" t="str">
        <f aca="false">IF(O164=1,"Yes",IF(AND(O164&gt;1,SUMIFS(L:L,B:B,"&lt;&gt;Green",A:A,A164)+5%&gt;=SUMIFS(L:L,A:A,A164,B:B,"&lt;&gt;Green",O:O,1)),"No","Yes"))</f>
        <v>No</v>
      </c>
      <c r="O164" s="1" t="n">
        <f aca="false">COUNTIFS(A:A,A164,P:P,"&gt;"&amp;P164)+1</f>
        <v>4</v>
      </c>
      <c r="P164" s="25" t="n">
        <f aca="false">SUMIFS(L:L,A:A,A164,B:B,B164)</f>
        <v>0.286631314540888</v>
      </c>
    </row>
    <row r="165" customFormat="false" ht="13.8" hidden="false" customHeight="false" outlineLevel="0" collapsed="false">
      <c r="A165" s="1" t="s">
        <v>407</v>
      </c>
      <c r="B165" s="27" t="s">
        <v>19</v>
      </c>
      <c r="C165" s="1" t="s">
        <v>414</v>
      </c>
      <c r="D165" s="1" t="n">
        <v>159</v>
      </c>
      <c r="E165" s="25" t="n">
        <v>0.06</v>
      </c>
      <c r="F165" s="1" t="n">
        <v>2656</v>
      </c>
      <c r="G165" s="1" t="n">
        <v>10150</v>
      </c>
      <c r="H165" s="28" t="n">
        <f aca="false">ROUND(D165*IF(ISNUMBER(SEARCH("Labour",B165)),National!$L$4,IF(ISNUMBER(SEARCH("Conservative",B165)),National!$L$5,IF(OR(ISNUMBER(SEARCH("Reform",B165)),ISNUMBER(SEARCH("RefUK",B165))),National!$L$6,IF(ISNUMBER(SEARCH("Green",B165)),National!$L$7,IF(OR(ISNUMBER(SEARCH("Liberal Democrat",B165)),ISNUMBER(SEARCH("Lib Dem",B165))),National!$L$8,National!$L$9))))),0)</f>
        <v>223</v>
      </c>
      <c r="I165" s="25" t="n">
        <f aca="false">H165/SUMIFS(H:H,A:A,A165)</f>
        <v>0.0499104744852283</v>
      </c>
      <c r="J165" s="29" t="n">
        <f aca="false">ROUND(I165*SUMIF(A:A,A165,D:D),0)</f>
        <v>368</v>
      </c>
      <c r="K165" s="24" t="n">
        <f aca="false">ROUND(AVERAGEIFS(J:J,A:A,A165,B:B,B165)/COUNTIFS(B:B,B165,A:A,A165),0)</f>
        <v>368</v>
      </c>
      <c r="L165" s="25" t="n">
        <f aca="false">K165/SUMIF(A:A,A165,K:K)</f>
        <v>0.102707228579403</v>
      </c>
      <c r="M165" s="1" t="n">
        <f aca="false">ROUND(SUMIF(A:A,A165,J:J)*L165,0)</f>
        <v>757</v>
      </c>
      <c r="N165" s="1" t="str">
        <f aca="false">IF(O165=1,"Yes",IF(AND(O165&gt;1,SUMIFS(L:L,B:B,"&lt;&gt;Green",A:A,A165)+5%&gt;=SUMIFS(L:L,A:A,A165,B:B,"&lt;&gt;Green",O:O,1)),"No","Yes"))</f>
        <v>No</v>
      </c>
      <c r="O165" s="1" t="n">
        <f aca="false">COUNTIFS(A:A,A165,P:P,"&gt;"&amp;P165)+1</f>
        <v>8</v>
      </c>
      <c r="P165" s="25" t="n">
        <f aca="false">SUMIFS(L:L,A:A,A165,B:B,B165)</f>
        <v>0.102707228579403</v>
      </c>
    </row>
    <row r="166" customFormat="false" ht="13.8" hidden="false" customHeight="false" outlineLevel="0" collapsed="false">
      <c r="A166" s="1" t="s">
        <v>407</v>
      </c>
      <c r="B166" s="27" t="s">
        <v>23</v>
      </c>
      <c r="C166" s="1" t="s">
        <v>415</v>
      </c>
      <c r="D166" s="1" t="n">
        <v>155</v>
      </c>
      <c r="E166" s="25" t="n">
        <v>0.058</v>
      </c>
      <c r="F166" s="1" t="n">
        <v>2656</v>
      </c>
      <c r="G166" s="1" t="n">
        <v>10150</v>
      </c>
      <c r="H166" s="28" t="n">
        <f aca="false">ROUND(D166*IF(ISNUMBER(SEARCH("Labour",B166)),National!$L$4,IF(ISNUMBER(SEARCH("Conservative",B166)),National!$L$5,IF(OR(ISNUMBER(SEARCH("Reform",B166)),ISNUMBER(SEARCH("RefUK",B166))),National!$L$6,IF(ISNUMBER(SEARCH("Green",B166)),National!$L$7,IF(OR(ISNUMBER(SEARCH("Liberal Democrat",B166)),ISNUMBER(SEARCH("Lib Dem",B166))),National!$L$8,National!$L$9))))),0)</f>
        <v>177</v>
      </c>
      <c r="I166" s="25" t="n">
        <f aca="false">H166/SUMIFS(H:H,A:A,A166)</f>
        <v>0.0396150402864817</v>
      </c>
      <c r="J166" s="29" t="n">
        <f aca="false">ROUND(I166*SUMIF(A:A,A166,D:D),0)</f>
        <v>292</v>
      </c>
      <c r="K166" s="24" t="n">
        <f aca="false">ROUND(AVERAGEIFS(J:J,A:A,A166,B:B,B166)/COUNTIFS(B:B,B166,A:A,A166),0)</f>
        <v>292</v>
      </c>
      <c r="L166" s="25" t="n">
        <f aca="false">K166/SUMIF(A:A,A166,K:K)</f>
        <v>0.0814959531119174</v>
      </c>
      <c r="M166" s="1" t="n">
        <f aca="false">ROUND(SUMIF(A:A,A166,J:J)*L166,0)</f>
        <v>601</v>
      </c>
      <c r="N166" s="1" t="str">
        <f aca="false">IF(O166=1,"Yes",IF(AND(O166&gt;1,SUMIFS(L:L,B:B,"&lt;&gt;Green",A:A,A166)+5%&gt;=SUMIFS(L:L,A:A,A166,B:B,"&lt;&gt;Green",O:O,1)),"No","Yes"))</f>
        <v>No</v>
      </c>
      <c r="O166" s="1" t="n">
        <f aca="false">COUNTIFS(A:A,A166,P:P,"&gt;"&amp;P166)+1</f>
        <v>9</v>
      </c>
      <c r="P166" s="25" t="n">
        <f aca="false">SUMIFS(L:L,A:A,A166,B:B,B166)</f>
        <v>0.0814959531119174</v>
      </c>
    </row>
    <row r="167" customFormat="false" ht="13.8" hidden="false" customHeight="false" outlineLevel="0" collapsed="false">
      <c r="A167" s="1" t="s">
        <v>416</v>
      </c>
      <c r="B167" s="27" t="s">
        <v>249</v>
      </c>
      <c r="C167" s="1" t="s">
        <v>417</v>
      </c>
      <c r="D167" s="1" t="n">
        <v>967</v>
      </c>
      <c r="E167" s="25" t="n">
        <v>0.564</v>
      </c>
      <c r="F167" s="1" t="n">
        <v>1716</v>
      </c>
      <c r="G167" s="1" t="n">
        <v>7120</v>
      </c>
      <c r="H167" s="28" t="n">
        <f aca="false">ROUND(D167*IF(ISNUMBER(SEARCH("Labour",B167)),National!$L$4,IF(ISNUMBER(SEARCH("Conservative",B167)),National!$L$5,IF(OR(ISNUMBER(SEARCH("Reform",B167)),ISNUMBER(SEARCH("RefUK",B167))),National!$L$6,IF(ISNUMBER(SEARCH("Green",B167)),National!$L$7,IF(OR(ISNUMBER(SEARCH("Liberal Democrat",B167)),ISNUMBER(SEARCH("Lib Dem",B167))),National!$L$8,National!$L$9))))),0)</f>
        <v>382</v>
      </c>
      <c r="I167" s="25" t="n">
        <f aca="false">H167/SUMIFS(H:H,A:A,A167)</f>
        <v>0.180871212121212</v>
      </c>
      <c r="J167" s="29" t="n">
        <f aca="false">ROUND(I167*SUMIF(A:A,A167,D:D),0)</f>
        <v>579</v>
      </c>
      <c r="K167" s="24" t="n">
        <f aca="false">ROUND(AVERAGEIFS(J:J,A:A,A167,B:B,B167)/COUNTIFS(B:B,B167,A:A,A167),0)</f>
        <v>275</v>
      </c>
      <c r="L167" s="25" t="n">
        <f aca="false">K167/SUMIF(A:A,A167,K:K)</f>
        <v>0.127314814814815</v>
      </c>
      <c r="M167" s="1" t="n">
        <f aca="false">ROUND(SUMIF(A:A,A167,J:J)*L167,0)</f>
        <v>407</v>
      </c>
      <c r="N167" s="1" t="str">
        <f aca="false">IF(O167=1,"Yes",IF(AND(O167&gt;1,SUMIFS(L:L,B:B,"&lt;&gt;Green",A:A,A167)+5%&gt;=SUMIFS(L:L,A:A,A167,B:B,"&lt;&gt;Green",O:O,1)),"No","Yes"))</f>
        <v>No</v>
      </c>
      <c r="O167" s="1" t="n">
        <f aca="false">COUNTIFS(A:A,A167,P:P,"&gt;"&amp;P167)+1</f>
        <v>2</v>
      </c>
      <c r="P167" s="25" t="n">
        <f aca="false">SUMIFS(L:L,A:A,A167,B:B,B167)</f>
        <v>0.25462962962963</v>
      </c>
    </row>
    <row r="168" customFormat="false" ht="13.8" hidden="false" customHeight="false" outlineLevel="0" collapsed="false">
      <c r="A168" s="1" t="s">
        <v>416</v>
      </c>
      <c r="B168" s="27" t="s">
        <v>249</v>
      </c>
      <c r="C168" s="1" t="s">
        <v>418</v>
      </c>
      <c r="D168" s="1" t="n">
        <v>869</v>
      </c>
      <c r="E168" s="25" t="n">
        <v>0.507</v>
      </c>
      <c r="F168" s="1" t="n">
        <v>1716</v>
      </c>
      <c r="G168" s="1" t="n">
        <v>7120</v>
      </c>
      <c r="H168" s="28" t="n">
        <f aca="false">ROUND(D168*IF(ISNUMBER(SEARCH("Labour",B168)),National!$L$4,IF(ISNUMBER(SEARCH("Conservative",B168)),National!$L$5,IF(OR(ISNUMBER(SEARCH("Reform",B168)),ISNUMBER(SEARCH("RefUK",B168))),National!$L$6,IF(ISNUMBER(SEARCH("Green",B168)),National!$L$7,IF(OR(ISNUMBER(SEARCH("Liberal Democrat",B168)),ISNUMBER(SEARCH("Lib Dem",B168))),National!$L$8,National!$L$9))))),0)</f>
        <v>344</v>
      </c>
      <c r="I168" s="25" t="n">
        <f aca="false">H168/SUMIFS(H:H,A:A,A168)</f>
        <v>0.162878787878788</v>
      </c>
      <c r="J168" s="29" t="n">
        <f aca="false">ROUND(I168*SUMIF(A:A,A168,D:D),0)</f>
        <v>521</v>
      </c>
      <c r="K168" s="24" t="n">
        <f aca="false">ROUND(AVERAGEIFS(J:J,A:A,A168,B:B,B168)/COUNTIFS(B:B,B168,A:A,A168),0)</f>
        <v>275</v>
      </c>
      <c r="L168" s="25" t="n">
        <f aca="false">K168/SUMIF(A:A,A168,K:K)</f>
        <v>0.127314814814815</v>
      </c>
      <c r="M168" s="1" t="n">
        <f aca="false">ROUND(SUMIF(A:A,A168,J:J)*L168,0)</f>
        <v>407</v>
      </c>
      <c r="N168" s="1" t="str">
        <f aca="false">IF(O168=1,"Yes",IF(AND(O168&gt;1,SUMIFS(L:L,B:B,"&lt;&gt;Green",A:A,A168)+5%&gt;=SUMIFS(L:L,A:A,A168,B:B,"&lt;&gt;Green",O:O,1)),"No","Yes"))</f>
        <v>No</v>
      </c>
      <c r="O168" s="1" t="n">
        <f aca="false">COUNTIFS(A:A,A168,P:P,"&gt;"&amp;P168)+1</f>
        <v>2</v>
      </c>
      <c r="P168" s="25" t="n">
        <f aca="false">SUMIFS(L:L,A:A,A168,B:B,B168)</f>
        <v>0.25462962962963</v>
      </c>
    </row>
    <row r="169" customFormat="false" ht="13.8" hidden="false" customHeight="false" outlineLevel="0" collapsed="false">
      <c r="A169" s="1" t="s">
        <v>416</v>
      </c>
      <c r="B169" s="27" t="s">
        <v>241</v>
      </c>
      <c r="C169" s="1" t="s">
        <v>192</v>
      </c>
      <c r="D169" s="1" t="n">
        <v>502</v>
      </c>
      <c r="E169" s="25" t="n">
        <v>0.293</v>
      </c>
      <c r="F169" s="1" t="n">
        <v>1716</v>
      </c>
      <c r="G169" s="1" t="n">
        <v>7120</v>
      </c>
      <c r="H169" s="28" t="n">
        <f aca="false">ROUND(D169*IF(ISNUMBER(SEARCH("Labour",B169)),National!$L$4,IF(ISNUMBER(SEARCH("Conservative",B169)),National!$L$5,IF(OR(ISNUMBER(SEARCH("Reform",B169)),ISNUMBER(SEARCH("RefUK",B169))),National!$L$6,IF(ISNUMBER(SEARCH("Green",B169)),National!$L$7,IF(OR(ISNUMBER(SEARCH("Liberal Democrat",B169)),ISNUMBER(SEARCH("Lib Dem",B169))),National!$L$8,National!$L$9))))),0)</f>
        <v>328</v>
      </c>
      <c r="I169" s="25" t="n">
        <f aca="false">H169/SUMIFS(H:H,A:A,A169)</f>
        <v>0.15530303030303</v>
      </c>
      <c r="J169" s="29" t="n">
        <f aca="false">ROUND(I169*SUMIF(A:A,A169,D:D),0)</f>
        <v>497</v>
      </c>
      <c r="K169" s="24" t="n">
        <f aca="false">ROUND(AVERAGEIFS(J:J,A:A,A169,B:B,B169)/COUNTIFS(B:B,B169,A:A,A169),0)</f>
        <v>246</v>
      </c>
      <c r="L169" s="25" t="n">
        <f aca="false">K169/SUMIF(A:A,A169,K:K)</f>
        <v>0.113888888888889</v>
      </c>
      <c r="M169" s="1" t="n">
        <f aca="false">ROUND(SUMIF(A:A,A169,J:J)*L169,0)</f>
        <v>364</v>
      </c>
      <c r="N169" s="1" t="str">
        <f aca="false">IF(O169=1,"Yes",IF(AND(O169&gt;1,SUMIFS(L:L,B:B,"&lt;&gt;Green",A:A,A169)+5%&gt;=SUMIFS(L:L,A:A,A169,B:B,"&lt;&gt;Green",O:O,1)),"No","Yes"))</f>
        <v>No</v>
      </c>
      <c r="O169" s="1" t="n">
        <f aca="false">COUNTIFS(A:A,A169,P:P,"&gt;"&amp;P169)+1</f>
        <v>4</v>
      </c>
      <c r="P169" s="25" t="n">
        <f aca="false">SUMIFS(L:L,A:A,A169,B:B,B169)</f>
        <v>0.227777777777778</v>
      </c>
    </row>
    <row r="170" customFormat="false" ht="13.8" hidden="false" customHeight="false" outlineLevel="0" collapsed="false">
      <c r="A170" s="1" t="s">
        <v>416</v>
      </c>
      <c r="B170" s="27" t="s">
        <v>241</v>
      </c>
      <c r="C170" s="1" t="s">
        <v>419</v>
      </c>
      <c r="D170" s="1" t="n">
        <v>489</v>
      </c>
      <c r="E170" s="25" t="n">
        <v>0.285</v>
      </c>
      <c r="F170" s="1" t="n">
        <v>1716</v>
      </c>
      <c r="G170" s="1" t="n">
        <v>7120</v>
      </c>
      <c r="H170" s="28" t="n">
        <f aca="false">ROUND(D170*IF(ISNUMBER(SEARCH("Labour",B170)),National!$L$4,IF(ISNUMBER(SEARCH("Conservative",B170)),National!$L$5,IF(OR(ISNUMBER(SEARCH("Reform",B170)),ISNUMBER(SEARCH("RefUK",B170))),National!$L$6,IF(ISNUMBER(SEARCH("Green",B170)),National!$L$7,IF(OR(ISNUMBER(SEARCH("Liberal Democrat",B170)),ISNUMBER(SEARCH("Lib Dem",B170))),National!$L$8,National!$L$9))))),0)</f>
        <v>320</v>
      </c>
      <c r="I170" s="25" t="n">
        <f aca="false">H170/SUMIFS(H:H,A:A,A170)</f>
        <v>0.151515151515152</v>
      </c>
      <c r="J170" s="29" t="n">
        <f aca="false">ROUND(I170*SUMIF(A:A,A170,D:D),0)</f>
        <v>485</v>
      </c>
      <c r="K170" s="24" t="n">
        <f aca="false">ROUND(AVERAGEIFS(J:J,A:A,A170,B:B,B170)/COUNTIFS(B:B,B170,A:A,A170),0)</f>
        <v>246</v>
      </c>
      <c r="L170" s="25" t="n">
        <f aca="false">K170/SUMIF(A:A,A170,K:K)</f>
        <v>0.113888888888889</v>
      </c>
      <c r="M170" s="1" t="n">
        <f aca="false">ROUND(SUMIF(A:A,A170,J:J)*L170,0)</f>
        <v>364</v>
      </c>
      <c r="N170" s="1" t="str">
        <f aca="false">IF(O170=1,"Yes",IF(AND(O170&gt;1,SUMIFS(L:L,B:B,"&lt;&gt;Green",A:A,A170)+5%&gt;=SUMIFS(L:L,A:A,A170,B:B,"&lt;&gt;Green",O:O,1)),"No","Yes"))</f>
        <v>No</v>
      </c>
      <c r="O170" s="1" t="n">
        <f aca="false">COUNTIFS(A:A,A170,P:P,"&gt;"&amp;P170)+1</f>
        <v>4</v>
      </c>
      <c r="P170" s="25" t="n">
        <f aca="false">SUMIFS(L:L,A:A,A170,B:B,B170)</f>
        <v>0.227777777777778</v>
      </c>
    </row>
    <row r="171" customFormat="false" ht="13.8" hidden="false" customHeight="false" outlineLevel="0" collapsed="false">
      <c r="A171" s="1" t="s">
        <v>416</v>
      </c>
      <c r="B171" s="30" t="s">
        <v>219</v>
      </c>
      <c r="C171" s="1" t="s">
        <v>420</v>
      </c>
      <c r="D171" s="1" t="n">
        <v>222</v>
      </c>
      <c r="E171" s="25" t="n">
        <v>0.129</v>
      </c>
      <c r="F171" s="1" t="n">
        <v>1716</v>
      </c>
      <c r="G171" s="1" t="n">
        <v>7120</v>
      </c>
      <c r="H171" s="28" t="n">
        <f aca="false">ROUND(D171*IF(ISNUMBER(SEARCH("Labour",B171)),National!$L$4,IF(ISNUMBER(SEARCH("Conservative",B171)),National!$L$5,IF(OR(ISNUMBER(SEARCH("Reform",B171)),ISNUMBER(SEARCH("RefUK",B171))),National!$L$6,IF(ISNUMBER(SEARCH("Green",B171)),National!$L$7,IF(OR(ISNUMBER(SEARCH("Liberal Democrat",B171)),ISNUMBER(SEARCH("Lib Dem",B171))),National!$L$8,National!$L$9))))),0)</f>
        <v>527</v>
      </c>
      <c r="I171" s="25" t="n">
        <f aca="false">H171/SUMIFS(H:H,A:A,A171)</f>
        <v>0.249526515151515</v>
      </c>
      <c r="J171" s="29" t="n">
        <f aca="false">ROUND(I171*SUMIF(A:A,A171,D:D),0)</f>
        <v>798</v>
      </c>
      <c r="K171" s="24" t="n">
        <f aca="false">ROUND(AVERAGEIFS(J:J,A:A,A171,B:B,B171)/COUNTIFS(B:B,B171,A:A,A171),0)</f>
        <v>798</v>
      </c>
      <c r="L171" s="25" t="n">
        <f aca="false">K171/SUMIF(A:A,A171,K:K)</f>
        <v>0.369444444444444</v>
      </c>
      <c r="M171" s="1" t="n">
        <f aca="false">ROUND(SUMIF(A:A,A171,J:J)*L171,0)</f>
        <v>1182</v>
      </c>
      <c r="N171" s="1" t="str">
        <f aca="false">IF(O171=1,"Yes",IF(AND(O171&gt;1,SUMIFS(L:L,B:B,"&lt;&gt;Green",A:A,A171)+5%&gt;=SUMIFS(L:L,A:A,A171,B:B,"&lt;&gt;Green",O:O,1)),"No","Yes"))</f>
        <v>Yes</v>
      </c>
      <c r="O171" s="1" t="n">
        <f aca="false">COUNTIFS(A:A,A171,P:P,"&gt;"&amp;P171)+1</f>
        <v>1</v>
      </c>
      <c r="P171" s="25" t="n">
        <f aca="false">SUMIFS(L:L,A:A,A171,B:B,B171)</f>
        <v>0.369444444444444</v>
      </c>
    </row>
    <row r="172" customFormat="false" ht="13.8" hidden="false" customHeight="false" outlineLevel="0" collapsed="false">
      <c r="A172" s="1" t="s">
        <v>416</v>
      </c>
      <c r="B172" s="27" t="s">
        <v>19</v>
      </c>
      <c r="C172" s="1" t="s">
        <v>195</v>
      </c>
      <c r="D172" s="1" t="n">
        <v>151</v>
      </c>
      <c r="E172" s="25" t="n">
        <v>0.088</v>
      </c>
      <c r="F172" s="1" t="n">
        <v>1716</v>
      </c>
      <c r="G172" s="1" t="n">
        <v>7120</v>
      </c>
      <c r="H172" s="28" t="n">
        <f aca="false">ROUND(D172*IF(ISNUMBER(SEARCH("Labour",B172)),National!$L$4,IF(ISNUMBER(SEARCH("Conservative",B172)),National!$L$5,IF(OR(ISNUMBER(SEARCH("Reform",B172)),ISNUMBER(SEARCH("RefUK",B172))),National!$L$6,IF(ISNUMBER(SEARCH("Green",B172)),National!$L$7,IF(OR(ISNUMBER(SEARCH("Liberal Democrat",B172)),ISNUMBER(SEARCH("Lib Dem",B172))),National!$L$8,National!$L$9))))),0)</f>
        <v>211</v>
      </c>
      <c r="I172" s="25" t="n">
        <f aca="false">H172/SUMIFS(H:H,A:A,A172)</f>
        <v>0.099905303030303</v>
      </c>
      <c r="J172" s="29" t="n">
        <f aca="false">ROUND(I172*SUMIF(A:A,A172,D:D),0)</f>
        <v>320</v>
      </c>
      <c r="K172" s="24" t="n">
        <f aca="false">ROUND(AVERAGEIFS(J:J,A:A,A172,B:B,B172)/COUNTIFS(B:B,B172,A:A,A172),0)</f>
        <v>320</v>
      </c>
      <c r="L172" s="25" t="n">
        <f aca="false">K172/SUMIF(A:A,A172,K:K)</f>
        <v>0.148148148148148</v>
      </c>
      <c r="M172" s="1" t="n">
        <f aca="false">ROUND(SUMIF(A:A,A172,J:J)*L172,0)</f>
        <v>474</v>
      </c>
      <c r="N172" s="1" t="str">
        <f aca="false">IF(O172=1,"Yes",IF(AND(O172&gt;1,SUMIFS(L:L,B:B,"&lt;&gt;Green",A:A,A172)+5%&gt;=SUMIFS(L:L,A:A,A172,B:B,"&lt;&gt;Green",O:O,1)),"No","Yes"))</f>
        <v>No</v>
      </c>
      <c r="O172" s="1" t="n">
        <f aca="false">COUNTIFS(A:A,A172,P:P,"&gt;"&amp;P172)+1</f>
        <v>6</v>
      </c>
      <c r="P172" s="25" t="n">
        <f aca="false">SUMIFS(L:L,A:A,A172,B:B,B172)</f>
        <v>0.148148148148148</v>
      </c>
    </row>
    <row r="173" customFormat="false" ht="13.8" hidden="false" customHeight="false" outlineLevel="0" collapsed="false">
      <c r="A173" s="1" t="s">
        <v>421</v>
      </c>
      <c r="B173" s="27" t="s">
        <v>249</v>
      </c>
      <c r="C173" s="1" t="s">
        <v>422</v>
      </c>
      <c r="D173" s="1" t="n">
        <v>1998</v>
      </c>
      <c r="E173" s="25" t="n">
        <v>0.605</v>
      </c>
      <c r="F173" s="1" t="n">
        <v>3304</v>
      </c>
      <c r="G173" s="1" t="n">
        <v>10149</v>
      </c>
      <c r="H173" s="28" t="n">
        <f aca="false">ROUND(D173*IF(ISNUMBER(SEARCH("Labour",B173)),National!$L$4,IF(ISNUMBER(SEARCH("Conservative",B173)),National!$L$5,IF(OR(ISNUMBER(SEARCH("Reform",B173)),ISNUMBER(SEARCH("RefUK",B173))),National!$L$6,IF(ISNUMBER(SEARCH("Green",B173)),National!$L$7,IF(OR(ISNUMBER(SEARCH("Liberal Democrat",B173)),ISNUMBER(SEARCH("Lib Dem",B173))),National!$L$8,National!$L$9))))),0)</f>
        <v>790</v>
      </c>
      <c r="I173" s="25" t="n">
        <f aca="false">H173/SUMIFS(H:H,A:A,A173)</f>
        <v>0.149225538345297</v>
      </c>
      <c r="J173" s="29" t="n">
        <f aca="false">ROUND(I173*SUMIF(A:A,A173,D:D),0)</f>
        <v>1355</v>
      </c>
      <c r="K173" s="24" t="n">
        <f aca="false">ROUND(AVERAGEIFS(J:J,A:A,A173,B:B,B173)/COUNTIFS(B:B,B173,A:A,A173),0)</f>
        <v>437</v>
      </c>
      <c r="L173" s="25" t="n">
        <f aca="false">K173/SUMIF(A:A,A173,K:K)</f>
        <v>0.0969602840026625</v>
      </c>
      <c r="M173" s="1" t="n">
        <f aca="false">ROUND(SUMIF(A:A,A173,J:J)*L173,0)</f>
        <v>881</v>
      </c>
      <c r="N173" s="1" t="str">
        <f aca="false">IF(O173=1,"Yes",IF(AND(O173&gt;1,SUMIFS(L:L,B:B,"&lt;&gt;Green",A:A,A173)+5%&gt;=SUMIFS(L:L,A:A,A173,B:B,"&lt;&gt;Green",O:O,1)),"No","Yes"))</f>
        <v>No</v>
      </c>
      <c r="O173" s="1" t="n">
        <f aca="false">COUNTIFS(A:A,A173,P:P,"&gt;"&amp;P173)+1</f>
        <v>2</v>
      </c>
      <c r="P173" s="25" t="n">
        <f aca="false">SUMIFS(L:L,A:A,A173,B:B,B173)</f>
        <v>0.290880852007988</v>
      </c>
    </row>
    <row r="174" customFormat="false" ht="13.8" hidden="false" customHeight="false" outlineLevel="0" collapsed="false">
      <c r="A174" s="1" t="s">
        <v>421</v>
      </c>
      <c r="B174" s="27" t="s">
        <v>249</v>
      </c>
      <c r="C174" s="1" t="s">
        <v>197</v>
      </c>
      <c r="D174" s="1" t="n">
        <v>1977</v>
      </c>
      <c r="E174" s="25" t="n">
        <v>0.598</v>
      </c>
      <c r="F174" s="1" t="n">
        <v>3304</v>
      </c>
      <c r="G174" s="1" t="n">
        <v>10149</v>
      </c>
      <c r="H174" s="28" t="n">
        <f aca="false">ROUND(D174*IF(ISNUMBER(SEARCH("Labour",B174)),National!$L$4,IF(ISNUMBER(SEARCH("Conservative",B174)),National!$L$5,IF(OR(ISNUMBER(SEARCH("Reform",B174)),ISNUMBER(SEARCH("RefUK",B174))),National!$L$6,IF(ISNUMBER(SEARCH("Green",B174)),National!$L$7,IF(OR(ISNUMBER(SEARCH("Liberal Democrat",B174)),ISNUMBER(SEARCH("Lib Dem",B174))),National!$L$8,National!$L$9))))),0)</f>
        <v>782</v>
      </c>
      <c r="I174" s="25" t="n">
        <f aca="false">H174/SUMIFS(H:H,A:A,A174)</f>
        <v>0.147714393653192</v>
      </c>
      <c r="J174" s="29" t="n">
        <f aca="false">ROUND(I174*SUMIF(A:A,A174,D:D),0)</f>
        <v>1342</v>
      </c>
      <c r="K174" s="24" t="n">
        <f aca="false">ROUND(AVERAGEIFS(J:J,A:A,A174,B:B,B174)/COUNTIFS(B:B,B174,A:A,A174),0)</f>
        <v>437</v>
      </c>
      <c r="L174" s="25" t="n">
        <f aca="false">K174/SUMIF(A:A,A174,K:K)</f>
        <v>0.0969602840026625</v>
      </c>
      <c r="M174" s="1" t="n">
        <f aca="false">ROUND(SUMIF(A:A,A174,J:J)*L174,0)</f>
        <v>881</v>
      </c>
      <c r="N174" s="1" t="str">
        <f aca="false">IF(O174=1,"Yes",IF(AND(O174&gt;1,SUMIFS(L:L,B:B,"&lt;&gt;Green",A:A,A174)+5%&gt;=SUMIFS(L:L,A:A,A174,B:B,"&lt;&gt;Green",O:O,1)),"No","Yes"))</f>
        <v>No</v>
      </c>
      <c r="O174" s="1" t="n">
        <f aca="false">COUNTIFS(A:A,A174,P:P,"&gt;"&amp;P174)+1</f>
        <v>2</v>
      </c>
      <c r="P174" s="25" t="n">
        <f aca="false">SUMIFS(L:L,A:A,A174,B:B,B174)</f>
        <v>0.290880852007988</v>
      </c>
    </row>
    <row r="175" customFormat="false" ht="13.8" hidden="false" customHeight="false" outlineLevel="0" collapsed="false">
      <c r="A175" s="1" t="s">
        <v>421</v>
      </c>
      <c r="B175" s="27" t="s">
        <v>249</v>
      </c>
      <c r="C175" s="1" t="s">
        <v>423</v>
      </c>
      <c r="D175" s="1" t="n">
        <v>1823</v>
      </c>
      <c r="E175" s="25" t="n">
        <v>0.552</v>
      </c>
      <c r="F175" s="1" t="n">
        <v>3304</v>
      </c>
      <c r="G175" s="1" t="n">
        <v>10149</v>
      </c>
      <c r="H175" s="28" t="n">
        <f aca="false">ROUND(D175*IF(ISNUMBER(SEARCH("Labour",B175)),National!$L$4,IF(ISNUMBER(SEARCH("Conservative",B175)),National!$L$5,IF(OR(ISNUMBER(SEARCH("Reform",B175)),ISNUMBER(SEARCH("RefUK",B175))),National!$L$6,IF(ISNUMBER(SEARCH("Green",B175)),National!$L$7,IF(OR(ISNUMBER(SEARCH("Liberal Democrat",B175)),ISNUMBER(SEARCH("Lib Dem",B175))),National!$L$8,National!$L$9))))),0)</f>
        <v>721</v>
      </c>
      <c r="I175" s="25" t="n">
        <f aca="false">H175/SUMIFS(H:H,A:A,A175)</f>
        <v>0.136191915375897</v>
      </c>
      <c r="J175" s="29" t="n">
        <f aca="false">ROUND(I175*SUMIF(A:A,A175,D:D),0)</f>
        <v>1237</v>
      </c>
      <c r="K175" s="24" t="n">
        <f aca="false">ROUND(AVERAGEIFS(J:J,A:A,A175,B:B,B175)/COUNTIFS(B:B,B175,A:A,A175),0)</f>
        <v>437</v>
      </c>
      <c r="L175" s="25" t="n">
        <f aca="false">K175/SUMIF(A:A,A175,K:K)</f>
        <v>0.0969602840026625</v>
      </c>
      <c r="M175" s="1" t="n">
        <f aca="false">ROUND(SUMIF(A:A,A175,J:J)*L175,0)</f>
        <v>881</v>
      </c>
      <c r="N175" s="1" t="str">
        <f aca="false">IF(O175=1,"Yes",IF(AND(O175&gt;1,SUMIFS(L:L,B:B,"&lt;&gt;Green",A:A,A175)+5%&gt;=SUMIFS(L:L,A:A,A175,B:B,"&lt;&gt;Green",O:O,1)),"No","Yes"))</f>
        <v>No</v>
      </c>
      <c r="O175" s="1" t="n">
        <f aca="false">COUNTIFS(A:A,A175,P:P,"&gt;"&amp;P175)+1</f>
        <v>2</v>
      </c>
      <c r="P175" s="25" t="n">
        <f aca="false">SUMIFS(L:L,A:A,A175,B:B,B175)</f>
        <v>0.290880852007988</v>
      </c>
    </row>
    <row r="176" customFormat="false" ht="13.8" hidden="false" customHeight="false" outlineLevel="0" collapsed="false">
      <c r="A176" s="1" t="s">
        <v>421</v>
      </c>
      <c r="B176" s="27" t="s">
        <v>241</v>
      </c>
      <c r="C176" s="1" t="s">
        <v>424</v>
      </c>
      <c r="D176" s="1" t="n">
        <v>985</v>
      </c>
      <c r="E176" s="25" t="n">
        <v>0.298</v>
      </c>
      <c r="F176" s="1" t="n">
        <v>3304</v>
      </c>
      <c r="G176" s="1" t="n">
        <v>10149</v>
      </c>
      <c r="H176" s="28" t="n">
        <f aca="false">ROUND(D176*IF(ISNUMBER(SEARCH("Labour",B176)),National!$L$4,IF(ISNUMBER(SEARCH("Conservative",B176)),National!$L$5,IF(OR(ISNUMBER(SEARCH("Reform",B176)),ISNUMBER(SEARCH("RefUK",B176))),National!$L$6,IF(ISNUMBER(SEARCH("Green",B176)),National!$L$7,IF(OR(ISNUMBER(SEARCH("Liberal Democrat",B176)),ISNUMBER(SEARCH("Lib Dem",B176))),National!$L$8,National!$L$9))))),0)</f>
        <v>644</v>
      </c>
      <c r="I176" s="25" t="n">
        <f aca="false">H176/SUMIFS(H:H,A:A,A176)</f>
        <v>0.121647147714394</v>
      </c>
      <c r="J176" s="29" t="n">
        <f aca="false">ROUND(I176*SUMIF(A:A,A176,D:D),0)</f>
        <v>1105</v>
      </c>
      <c r="K176" s="24" t="n">
        <f aca="false">ROUND(AVERAGEIFS(J:J,A:A,A176,B:B,B176)/COUNTIFS(B:B,B176,A:A,A176),0)</f>
        <v>325</v>
      </c>
      <c r="L176" s="25" t="n">
        <f aca="false">K176/SUMIF(A:A,A176,K:K)</f>
        <v>0.0721100510317284</v>
      </c>
      <c r="M176" s="1" t="n">
        <f aca="false">ROUND(SUMIF(A:A,A176,J:J)*L176,0)</f>
        <v>655</v>
      </c>
      <c r="N176" s="1" t="str">
        <f aca="false">IF(O176=1,"Yes",IF(AND(O176&gt;1,SUMIFS(L:L,B:B,"&lt;&gt;Green",A:A,A176)+5%&gt;=SUMIFS(L:L,A:A,A176,B:B,"&lt;&gt;Green",O:O,1)),"No","Yes"))</f>
        <v>No</v>
      </c>
      <c r="O176" s="1" t="n">
        <f aca="false">COUNTIFS(A:A,A176,P:P,"&gt;"&amp;P176)+1</f>
        <v>5</v>
      </c>
      <c r="P176" s="25" t="n">
        <f aca="false">SUMIFS(L:L,A:A,A176,B:B,B176)</f>
        <v>0.216330153095185</v>
      </c>
    </row>
    <row r="177" customFormat="false" ht="13.8" hidden="false" customHeight="false" outlineLevel="0" collapsed="false">
      <c r="A177" s="1" t="s">
        <v>421</v>
      </c>
      <c r="B177" s="27" t="s">
        <v>241</v>
      </c>
      <c r="C177" s="1" t="s">
        <v>425</v>
      </c>
      <c r="D177" s="1" t="n">
        <v>817</v>
      </c>
      <c r="E177" s="25" t="n">
        <v>0.247</v>
      </c>
      <c r="F177" s="1" t="n">
        <v>3304</v>
      </c>
      <c r="G177" s="1" t="n">
        <v>10149</v>
      </c>
      <c r="H177" s="28" t="n">
        <f aca="false">ROUND(D177*IF(ISNUMBER(SEARCH("Labour",B177)),National!$L$4,IF(ISNUMBER(SEARCH("Conservative",B177)),National!$L$5,IF(OR(ISNUMBER(SEARCH("Reform",B177)),ISNUMBER(SEARCH("RefUK",B177))),National!$L$6,IF(ISNUMBER(SEARCH("Green",B177)),National!$L$7,IF(OR(ISNUMBER(SEARCH("Liberal Democrat",B177)),ISNUMBER(SEARCH("Lib Dem",B177))),National!$L$8,National!$L$9))))),0)</f>
        <v>534</v>
      </c>
      <c r="I177" s="25" t="n">
        <f aca="false">H177/SUMIFS(H:H,A:A,A177)</f>
        <v>0.10086890819796</v>
      </c>
      <c r="J177" s="29" t="n">
        <f aca="false">ROUND(I177*SUMIF(A:A,A177,D:D),0)</f>
        <v>916</v>
      </c>
      <c r="K177" s="24" t="n">
        <f aca="false">ROUND(AVERAGEIFS(J:J,A:A,A177,B:B,B177)/COUNTIFS(B:B,B177,A:A,A177),0)</f>
        <v>325</v>
      </c>
      <c r="L177" s="25" t="n">
        <f aca="false">K177/SUMIF(A:A,A177,K:K)</f>
        <v>0.0721100510317284</v>
      </c>
      <c r="M177" s="1" t="n">
        <f aca="false">ROUND(SUMIF(A:A,A177,J:J)*L177,0)</f>
        <v>655</v>
      </c>
      <c r="N177" s="1" t="str">
        <f aca="false">IF(O177=1,"Yes",IF(AND(O177&gt;1,SUMIFS(L:L,B:B,"&lt;&gt;Green",A:A,A177)+5%&gt;=SUMIFS(L:L,A:A,A177,B:B,"&lt;&gt;Green",O:O,1)),"No","Yes"))</f>
        <v>No</v>
      </c>
      <c r="O177" s="1" t="n">
        <f aca="false">COUNTIFS(A:A,A177,P:P,"&gt;"&amp;P177)+1</f>
        <v>5</v>
      </c>
      <c r="P177" s="25" t="n">
        <f aca="false">SUMIFS(L:L,A:A,A177,B:B,B177)</f>
        <v>0.216330153095185</v>
      </c>
    </row>
    <row r="178" customFormat="false" ht="13.8" hidden="false" customHeight="false" outlineLevel="0" collapsed="false">
      <c r="A178" s="1" t="s">
        <v>421</v>
      </c>
      <c r="B178" s="27" t="s">
        <v>241</v>
      </c>
      <c r="C178" s="1" t="s">
        <v>201</v>
      </c>
      <c r="D178" s="1" t="n">
        <v>808</v>
      </c>
      <c r="E178" s="25" t="n">
        <v>0.245</v>
      </c>
      <c r="F178" s="1" t="n">
        <v>3304</v>
      </c>
      <c r="G178" s="1" t="n">
        <v>10149</v>
      </c>
      <c r="H178" s="28" t="n">
        <f aca="false">ROUND(D178*IF(ISNUMBER(SEARCH("Labour",B178)),National!$L$4,IF(ISNUMBER(SEARCH("Conservative",B178)),National!$L$5,IF(OR(ISNUMBER(SEARCH("Reform",B178)),ISNUMBER(SEARCH("RefUK",B178))),National!$L$6,IF(ISNUMBER(SEARCH("Green",B178)),National!$L$7,IF(OR(ISNUMBER(SEARCH("Liberal Democrat",B178)),ISNUMBER(SEARCH("Lib Dem",B178))),National!$L$8,National!$L$9))))),0)</f>
        <v>528</v>
      </c>
      <c r="I178" s="25" t="n">
        <f aca="false">H178/SUMIFS(H:H,A:A,A178)</f>
        <v>0.0997355496788818</v>
      </c>
      <c r="J178" s="29" t="n">
        <f aca="false">ROUND(I178*SUMIF(A:A,A178,D:D),0)</f>
        <v>906</v>
      </c>
      <c r="K178" s="24" t="n">
        <f aca="false">ROUND(AVERAGEIFS(J:J,A:A,A178,B:B,B178)/COUNTIFS(B:B,B178,A:A,A178),0)</f>
        <v>325</v>
      </c>
      <c r="L178" s="25" t="n">
        <f aca="false">K178/SUMIF(A:A,A178,K:K)</f>
        <v>0.0721100510317284</v>
      </c>
      <c r="M178" s="1" t="n">
        <f aca="false">ROUND(SUMIF(A:A,A178,J:J)*L178,0)</f>
        <v>655</v>
      </c>
      <c r="N178" s="1" t="str">
        <f aca="false">IF(O178=1,"Yes",IF(AND(O178&gt;1,SUMIFS(L:L,B:B,"&lt;&gt;Green",A:A,A178)+5%&gt;=SUMIFS(L:L,A:A,A178,B:B,"&lt;&gt;Green",O:O,1)),"No","Yes"))</f>
        <v>No</v>
      </c>
      <c r="O178" s="1" t="n">
        <f aca="false">COUNTIFS(A:A,A178,P:P,"&gt;"&amp;P178)+1</f>
        <v>5</v>
      </c>
      <c r="P178" s="25" t="n">
        <f aca="false">SUMIFS(L:L,A:A,A178,B:B,B178)</f>
        <v>0.216330153095185</v>
      </c>
    </row>
    <row r="179" customFormat="false" ht="13.8" hidden="false" customHeight="false" outlineLevel="0" collapsed="false">
      <c r="A179" s="1" t="s">
        <v>421</v>
      </c>
      <c r="B179" s="30" t="s">
        <v>219</v>
      </c>
      <c r="C179" s="1" t="s">
        <v>202</v>
      </c>
      <c r="D179" s="1" t="n">
        <v>361</v>
      </c>
      <c r="E179" s="25" t="n">
        <v>0.109</v>
      </c>
      <c r="F179" s="1" t="n">
        <v>3304</v>
      </c>
      <c r="G179" s="1" t="n">
        <v>10149</v>
      </c>
      <c r="H179" s="28" t="n">
        <f aca="false">ROUND(D179*IF(ISNUMBER(SEARCH("Labour",B179)),National!$L$4,IF(ISNUMBER(SEARCH("Conservative",B179)),National!$L$5,IF(OR(ISNUMBER(SEARCH("Reform",B179)),ISNUMBER(SEARCH("RefUK",B179))),National!$L$6,IF(ISNUMBER(SEARCH("Green",B179)),National!$L$7,IF(OR(ISNUMBER(SEARCH("Liberal Democrat",B179)),ISNUMBER(SEARCH("Lib Dem",B179))),National!$L$8,National!$L$9))))),0)</f>
        <v>857</v>
      </c>
      <c r="I179" s="25" t="n">
        <f aca="false">H179/SUMIFS(H:H,A:A,A179)</f>
        <v>0.16188137514167</v>
      </c>
      <c r="J179" s="29" t="n">
        <f aca="false">ROUND(I179*SUMIF(A:A,A179,D:D),0)</f>
        <v>1470</v>
      </c>
      <c r="K179" s="24" t="n">
        <f aca="false">ROUND(AVERAGEIFS(J:J,A:A,A179,B:B,B179)/COUNTIFS(B:B,B179,A:A,A179),0)</f>
        <v>1470</v>
      </c>
      <c r="L179" s="25" t="n">
        <f aca="false">K179/SUMIF(A:A,A179,K:K)</f>
        <v>0.32615930774351</v>
      </c>
      <c r="M179" s="1" t="n">
        <f aca="false">ROUND(SUMIF(A:A,A179,J:J)*L179,0)</f>
        <v>2962</v>
      </c>
      <c r="N179" s="1" t="str">
        <f aca="false">IF(O179=1,"Yes",IF(AND(O179&gt;1,SUMIFS(L:L,B:B,"&lt;&gt;Green",A:A,A179)+5%&gt;=SUMIFS(L:L,A:A,A179,B:B,"&lt;&gt;Green",O:O,1)),"No","Yes"))</f>
        <v>Yes</v>
      </c>
      <c r="O179" s="1" t="n">
        <f aca="false">COUNTIFS(A:A,A179,P:P,"&gt;"&amp;P179)+1</f>
        <v>1</v>
      </c>
      <c r="P179" s="25" t="n">
        <f aca="false">SUMIFS(L:L,A:A,A179,B:B,B179)</f>
        <v>0.32615930774351</v>
      </c>
    </row>
    <row r="180" customFormat="false" ht="13.8" hidden="false" customHeight="false" outlineLevel="0" collapsed="false">
      <c r="A180" s="1" t="s">
        <v>421</v>
      </c>
      <c r="B180" s="27" t="s">
        <v>19</v>
      </c>
      <c r="C180" s="1" t="s">
        <v>426</v>
      </c>
      <c r="D180" s="1" t="n">
        <v>313</v>
      </c>
      <c r="E180" s="25" t="n">
        <v>0.095</v>
      </c>
      <c r="F180" s="1" t="n">
        <v>3304</v>
      </c>
      <c r="G180" s="1" t="n">
        <v>10149</v>
      </c>
      <c r="H180" s="28" t="n">
        <f aca="false">ROUND(D180*IF(ISNUMBER(SEARCH("Labour",B180)),National!$L$4,IF(ISNUMBER(SEARCH("Conservative",B180)),National!$L$5,IF(OR(ISNUMBER(SEARCH("Reform",B180)),ISNUMBER(SEARCH("RefUK",B180))),National!$L$6,IF(ISNUMBER(SEARCH("Green",B180)),National!$L$7,IF(OR(ISNUMBER(SEARCH("Liberal Democrat",B180)),ISNUMBER(SEARCH("Lib Dem",B180))),National!$L$8,National!$L$9))))),0)</f>
        <v>438</v>
      </c>
      <c r="I180" s="25" t="n">
        <f aca="false">H180/SUMIFS(H:H,A:A,A180)</f>
        <v>0.0827351718927087</v>
      </c>
      <c r="J180" s="29" t="n">
        <f aca="false">ROUND(I180*SUMIF(A:A,A180,D:D),0)</f>
        <v>751</v>
      </c>
      <c r="K180" s="24" t="n">
        <f aca="false">ROUND(AVERAGEIFS(J:J,A:A,A180,B:B,B180)/COUNTIFS(B:B,B180,A:A,A180),0)</f>
        <v>751</v>
      </c>
      <c r="L180" s="25" t="n">
        <f aca="false">K180/SUMIF(A:A,A180,K:K)</f>
        <v>0.166629687153317</v>
      </c>
      <c r="M180" s="1" t="n">
        <f aca="false">ROUND(SUMIF(A:A,A180,J:J)*L180,0)</f>
        <v>1513</v>
      </c>
      <c r="N180" s="1" t="str">
        <f aca="false">IF(O180=1,"Yes",IF(AND(O180&gt;1,SUMIFS(L:L,B:B,"&lt;&gt;Green",A:A,A180)+5%&gt;=SUMIFS(L:L,A:A,A180,B:B,"&lt;&gt;Green",O:O,1)),"No","Yes"))</f>
        <v>No</v>
      </c>
      <c r="O180" s="1" t="n">
        <f aca="false">COUNTIFS(A:A,A180,P:P,"&gt;"&amp;P180)+1</f>
        <v>8</v>
      </c>
      <c r="P180" s="25" t="n">
        <f aca="false">SUMIFS(L:L,A:A,A180,B:B,B180)</f>
        <v>0.166629687153317</v>
      </c>
    </row>
    <row r="181" customFormat="false" ht="13.8" hidden="false" customHeight="false" outlineLevel="0" collapsed="false">
      <c r="A181" s="1" t="s">
        <v>427</v>
      </c>
      <c r="B181" s="27" t="s">
        <v>249</v>
      </c>
      <c r="C181" s="1" t="s">
        <v>428</v>
      </c>
      <c r="D181" s="1" t="n">
        <v>986</v>
      </c>
      <c r="E181" s="25" t="n">
        <v>0.506</v>
      </c>
      <c r="F181" s="1" t="n">
        <v>1949</v>
      </c>
      <c r="G181" s="1" t="n">
        <v>7143</v>
      </c>
      <c r="H181" s="28" t="n">
        <f aca="false">ROUND(D181*IF(ISNUMBER(SEARCH("Labour",B181)),National!$L$4,IF(ISNUMBER(SEARCH("Conservative",B181)),National!$L$5,IF(OR(ISNUMBER(SEARCH("Reform",B181)),ISNUMBER(SEARCH("RefUK",B181))),National!$L$6,IF(ISNUMBER(SEARCH("Green",B181)),National!$L$7,IF(OR(ISNUMBER(SEARCH("Liberal Democrat",B181)),ISNUMBER(SEARCH("Lib Dem",B181))),National!$L$8,National!$L$9))))),0)</f>
        <v>390</v>
      </c>
      <c r="I181" s="25" t="n">
        <f aca="false">H181/SUMIFS(H:H,A:A,A181)</f>
        <v>0.173487544483986</v>
      </c>
      <c r="J181" s="29" t="n">
        <f aca="false">ROUND(I181*SUMIF(A:A,A181,D:D),0)</f>
        <v>641</v>
      </c>
      <c r="K181" s="24" t="n">
        <f aca="false">ROUND(AVERAGEIFS(J:J,A:A,A181,B:B,B181)/COUNTIFS(B:B,B181,A:A,A181),0)</f>
        <v>309</v>
      </c>
      <c r="L181" s="25" t="n">
        <f aca="false">K181/SUMIF(A:A,A181,K:K)</f>
        <v>0.13570487483531</v>
      </c>
      <c r="M181" s="1" t="n">
        <f aca="false">ROUND(SUMIF(A:A,A181,J:J)*L181,0)</f>
        <v>501</v>
      </c>
      <c r="N181" s="1" t="str">
        <f aca="false">IF(O181=1,"Yes",IF(AND(O181&gt;1,SUMIFS(L:L,B:B,"&lt;&gt;Green",A:A,A181)+5%&gt;=SUMIFS(L:L,A:A,A181,B:B,"&lt;&gt;Green",O:O,1)),"No","Yes"))</f>
        <v>No</v>
      </c>
      <c r="O181" s="1" t="n">
        <f aca="false">COUNTIFS(A:A,A181,P:P,"&gt;"&amp;P181)+1</f>
        <v>3</v>
      </c>
      <c r="P181" s="25" t="n">
        <f aca="false">SUMIFS(L:L,A:A,A181,B:B,B181)</f>
        <v>0.271409749670619</v>
      </c>
    </row>
    <row r="182" customFormat="false" ht="13.8" hidden="false" customHeight="false" outlineLevel="0" collapsed="false">
      <c r="A182" s="1" t="s">
        <v>427</v>
      </c>
      <c r="B182" s="27" t="s">
        <v>249</v>
      </c>
      <c r="C182" s="1" t="s">
        <v>429</v>
      </c>
      <c r="D182" s="1" t="n">
        <v>915</v>
      </c>
      <c r="E182" s="25" t="n">
        <v>0.469</v>
      </c>
      <c r="F182" s="1" t="n">
        <v>1949</v>
      </c>
      <c r="G182" s="1" t="n">
        <v>7143</v>
      </c>
      <c r="H182" s="28" t="n">
        <f aca="false">ROUND(D182*IF(ISNUMBER(SEARCH("Labour",B182)),National!$L$4,IF(ISNUMBER(SEARCH("Conservative",B182)),National!$L$5,IF(OR(ISNUMBER(SEARCH("Reform",B182)),ISNUMBER(SEARCH("RefUK",B182))),National!$L$6,IF(ISNUMBER(SEARCH("Green",B182)),National!$L$7,IF(OR(ISNUMBER(SEARCH("Liberal Democrat",B182)),ISNUMBER(SEARCH("Lib Dem",B182))),National!$L$8,National!$L$9))))),0)</f>
        <v>362</v>
      </c>
      <c r="I182" s="25" t="n">
        <f aca="false">H182/SUMIFS(H:H,A:A,A182)</f>
        <v>0.161032028469751</v>
      </c>
      <c r="J182" s="29" t="n">
        <f aca="false">ROUND(I182*SUMIF(A:A,A182,D:D),0)</f>
        <v>595</v>
      </c>
      <c r="K182" s="24" t="n">
        <f aca="false">ROUND(AVERAGEIFS(J:J,A:A,A182,B:B,B182)/COUNTIFS(B:B,B182,A:A,A182),0)</f>
        <v>309</v>
      </c>
      <c r="L182" s="25" t="n">
        <f aca="false">K182/SUMIF(A:A,A182,K:K)</f>
        <v>0.13570487483531</v>
      </c>
      <c r="M182" s="1" t="n">
        <f aca="false">ROUND(SUMIF(A:A,A182,J:J)*L182,0)</f>
        <v>501</v>
      </c>
      <c r="N182" s="1" t="str">
        <f aca="false">IF(O182=1,"Yes",IF(AND(O182&gt;1,SUMIFS(L:L,B:B,"&lt;&gt;Green",A:A,A182)+5%&gt;=SUMIFS(L:L,A:A,A182,B:B,"&lt;&gt;Green",O:O,1)),"No","Yes"))</f>
        <v>No</v>
      </c>
      <c r="O182" s="1" t="n">
        <f aca="false">COUNTIFS(A:A,A182,P:P,"&gt;"&amp;P182)+1</f>
        <v>3</v>
      </c>
      <c r="P182" s="25" t="n">
        <f aca="false">SUMIFS(L:L,A:A,A182,B:B,B182)</f>
        <v>0.271409749670619</v>
      </c>
    </row>
    <row r="183" customFormat="false" ht="13.8" hidden="false" customHeight="false" outlineLevel="0" collapsed="false">
      <c r="A183" s="1" t="s">
        <v>427</v>
      </c>
      <c r="B183" s="27" t="s">
        <v>241</v>
      </c>
      <c r="C183" s="1" t="s">
        <v>206</v>
      </c>
      <c r="D183" s="1" t="n">
        <v>799</v>
      </c>
      <c r="E183" s="25" t="n">
        <v>0.41</v>
      </c>
      <c r="F183" s="1" t="n">
        <v>1949</v>
      </c>
      <c r="G183" s="1" t="n">
        <v>7143</v>
      </c>
      <c r="H183" s="28" t="n">
        <f aca="false">ROUND(D183*IF(ISNUMBER(SEARCH("Labour",B183)),National!$L$4,IF(ISNUMBER(SEARCH("Conservative",B183)),National!$L$5,IF(OR(ISNUMBER(SEARCH("Reform",B183)),ISNUMBER(SEARCH("RefUK",B183))),National!$L$6,IF(ISNUMBER(SEARCH("Green",B183)),National!$L$7,IF(OR(ISNUMBER(SEARCH("Liberal Democrat",B183)),ISNUMBER(SEARCH("Lib Dem",B183))),National!$L$8,National!$L$9))))),0)</f>
        <v>522</v>
      </c>
      <c r="I183" s="25" t="n">
        <f aca="false">H183/SUMIFS(H:H,A:A,A183)</f>
        <v>0.23220640569395</v>
      </c>
      <c r="J183" s="29" t="n">
        <f aca="false">ROUND(I183*SUMIF(A:A,A183,D:D),0)</f>
        <v>857</v>
      </c>
      <c r="K183" s="24" t="n">
        <f aca="false">ROUND(AVERAGEIFS(J:J,A:A,A183,B:B,B183)/COUNTIFS(B:B,B183,A:A,A183),0)</f>
        <v>400</v>
      </c>
      <c r="L183" s="25" t="n">
        <f aca="false">K183/SUMIF(A:A,A183,K:K)</f>
        <v>0.175669740887132</v>
      </c>
      <c r="M183" s="1" t="n">
        <f aca="false">ROUND(SUMIF(A:A,A183,J:J)*L183,0)</f>
        <v>649</v>
      </c>
      <c r="N183" s="1" t="str">
        <f aca="false">IF(O183=1,"Yes",IF(AND(O183&gt;1,SUMIFS(L:L,B:B,"&lt;&gt;Green",A:A,A183)+5%&gt;=SUMIFS(L:L,A:A,A183,B:B,"&lt;&gt;Green",O:O,1)),"No","Yes"))</f>
        <v>Yes</v>
      </c>
      <c r="O183" s="1" t="n">
        <f aca="false">COUNTIFS(A:A,A183,P:P,"&gt;"&amp;P183)+1</f>
        <v>1</v>
      </c>
      <c r="P183" s="25" t="n">
        <f aca="false">SUMIFS(L:L,A:A,A183,B:B,B183)</f>
        <v>0.351339481774264</v>
      </c>
    </row>
    <row r="184" customFormat="false" ht="13.8" hidden="false" customHeight="false" outlineLevel="0" collapsed="false">
      <c r="A184" s="1" t="s">
        <v>427</v>
      </c>
      <c r="B184" s="27" t="s">
        <v>241</v>
      </c>
      <c r="C184" s="1" t="s">
        <v>207</v>
      </c>
      <c r="D184" s="1" t="n">
        <v>689</v>
      </c>
      <c r="E184" s="25" t="n">
        <v>0.354</v>
      </c>
      <c r="F184" s="1" t="n">
        <v>1949</v>
      </c>
      <c r="G184" s="1" t="n">
        <v>7143</v>
      </c>
      <c r="H184" s="28" t="n">
        <f aca="false">ROUND(D184*IF(ISNUMBER(SEARCH("Labour",B184)),National!$L$4,IF(ISNUMBER(SEARCH("Conservative",B184)),National!$L$5,IF(OR(ISNUMBER(SEARCH("Reform",B184)),ISNUMBER(SEARCH("RefUK",B184))),National!$L$6,IF(ISNUMBER(SEARCH("Green",B184)),National!$L$7,IF(OR(ISNUMBER(SEARCH("Liberal Democrat",B184)),ISNUMBER(SEARCH("Lib Dem",B184))),National!$L$8,National!$L$9))))),0)</f>
        <v>451</v>
      </c>
      <c r="I184" s="25" t="n">
        <f aca="false">H184/SUMIFS(H:H,A:A,A184)</f>
        <v>0.200622775800712</v>
      </c>
      <c r="J184" s="29" t="n">
        <f aca="false">ROUND(I184*SUMIF(A:A,A184,D:D),0)</f>
        <v>741</v>
      </c>
      <c r="K184" s="24" t="n">
        <f aca="false">ROUND(AVERAGEIFS(J:J,A:A,A184,B:B,B184)/COUNTIFS(B:B,B184,A:A,A184),0)</f>
        <v>400</v>
      </c>
      <c r="L184" s="25" t="n">
        <f aca="false">K184/SUMIF(A:A,A184,K:K)</f>
        <v>0.175669740887132</v>
      </c>
      <c r="M184" s="1" t="n">
        <f aca="false">ROUND(SUMIF(A:A,A184,J:J)*L184,0)</f>
        <v>649</v>
      </c>
      <c r="N184" s="1" t="str">
        <f aca="false">IF(O184=1,"Yes",IF(AND(O184&gt;1,SUMIFS(L:L,B:B,"&lt;&gt;Green",A:A,A184)+5%&gt;=SUMIFS(L:L,A:A,A184,B:B,"&lt;&gt;Green",O:O,1)),"No","Yes"))</f>
        <v>Yes</v>
      </c>
      <c r="O184" s="1" t="n">
        <f aca="false">COUNTIFS(A:A,A184,P:P,"&gt;"&amp;P184)+1</f>
        <v>1</v>
      </c>
      <c r="P184" s="25" t="n">
        <f aca="false">SUMIFS(L:L,A:A,A184,B:B,B184)</f>
        <v>0.351339481774264</v>
      </c>
    </row>
    <row r="185" customFormat="false" ht="13.8" hidden="false" customHeight="false" outlineLevel="0" collapsed="false">
      <c r="A185" s="1" t="s">
        <v>427</v>
      </c>
      <c r="B185" s="30" t="s">
        <v>219</v>
      </c>
      <c r="C185" s="1" t="s">
        <v>430</v>
      </c>
      <c r="D185" s="1" t="n">
        <v>121</v>
      </c>
      <c r="E185" s="25" t="n">
        <v>0.062</v>
      </c>
      <c r="F185" s="1" t="n">
        <v>1949</v>
      </c>
      <c r="G185" s="1" t="n">
        <v>7143</v>
      </c>
      <c r="H185" s="28" t="n">
        <f aca="false">ROUND(D185*IF(ISNUMBER(SEARCH("Labour",B185)),National!$L$4,IF(ISNUMBER(SEARCH("Conservative",B185)),National!$L$5,IF(OR(ISNUMBER(SEARCH("Reform",B185)),ISNUMBER(SEARCH("RefUK",B185))),National!$L$6,IF(ISNUMBER(SEARCH("Green",B185)),National!$L$7,IF(OR(ISNUMBER(SEARCH("Liberal Democrat",B185)),ISNUMBER(SEARCH("Lib Dem",B185))),National!$L$8,National!$L$9))))),0)</f>
        <v>287</v>
      </c>
      <c r="I185" s="25" t="n">
        <f aca="false">H185/SUMIFS(H:H,A:A,A185)</f>
        <v>0.127669039145907</v>
      </c>
      <c r="J185" s="29" t="n">
        <f aca="false">ROUND(I185*SUMIF(A:A,A185,D:D),0)</f>
        <v>471</v>
      </c>
      <c r="K185" s="24" t="n">
        <f aca="false">ROUND(AVERAGEIFS(J:J,A:A,A185,B:B,B185)/COUNTIFS(B:B,B185,A:A,A185),0)</f>
        <v>471</v>
      </c>
      <c r="L185" s="25" t="n">
        <f aca="false">K185/SUMIF(A:A,A185,K:K)</f>
        <v>0.206851119894598</v>
      </c>
      <c r="M185" s="1" t="n">
        <f aca="false">ROUND(SUMIF(A:A,A185,J:J)*L185,0)</f>
        <v>764</v>
      </c>
      <c r="N185" s="1" t="str">
        <f aca="false">IF(O185=1,"Yes",IF(AND(O185&gt;1,SUMIFS(L:L,B:B,"&lt;&gt;Green",A:A,A185)+5%&gt;=SUMIFS(L:L,A:A,A185,B:B,"&lt;&gt;Green",O:O,1)),"No","Yes"))</f>
        <v>No</v>
      </c>
      <c r="O185" s="1" t="n">
        <f aca="false">COUNTIFS(A:A,A185,P:P,"&gt;"&amp;P185)+1</f>
        <v>5</v>
      </c>
      <c r="P185" s="25" t="n">
        <f aca="false">SUMIFS(L:L,A:A,A185,B:B,B185)</f>
        <v>0.206851119894598</v>
      </c>
    </row>
    <row r="186" customFormat="false" ht="13.8" hidden="false" customHeight="false" outlineLevel="0" collapsed="false">
      <c r="A186" s="1" t="s">
        <v>427</v>
      </c>
      <c r="B186" s="27" t="s">
        <v>19</v>
      </c>
      <c r="C186" s="1" t="s">
        <v>431</v>
      </c>
      <c r="D186" s="1" t="n">
        <v>108</v>
      </c>
      <c r="E186" s="25" t="n">
        <v>0.055</v>
      </c>
      <c r="F186" s="1" t="n">
        <v>1949</v>
      </c>
      <c r="G186" s="1" t="n">
        <v>7143</v>
      </c>
      <c r="H186" s="28" t="n">
        <f aca="false">ROUND(D186*IF(ISNUMBER(SEARCH("Labour",B186)),National!$L$4,IF(ISNUMBER(SEARCH("Conservative",B186)),National!$L$5,IF(OR(ISNUMBER(SEARCH("Reform",B186)),ISNUMBER(SEARCH("RefUK",B186))),National!$L$6,IF(ISNUMBER(SEARCH("Green",B186)),National!$L$7,IF(OR(ISNUMBER(SEARCH("Liberal Democrat",B186)),ISNUMBER(SEARCH("Lib Dem",B186))),National!$L$8,National!$L$9))))),0)</f>
        <v>151</v>
      </c>
      <c r="I186" s="25" t="n">
        <f aca="false">H186/SUMIFS(H:H,A:A,A186)</f>
        <v>0.0671708185053381</v>
      </c>
      <c r="J186" s="29" t="n">
        <f aca="false">ROUND(I186*SUMIF(A:A,A186,D:D),0)</f>
        <v>248</v>
      </c>
      <c r="K186" s="24" t="n">
        <f aca="false">ROUND(AVERAGEIFS(J:J,A:A,A186,B:B,B186)/COUNTIFS(B:B,B186,A:A,A186),0)</f>
        <v>248</v>
      </c>
      <c r="L186" s="25" t="n">
        <f aca="false">K186/SUMIF(A:A,A186,K:K)</f>
        <v>0.108915239350022</v>
      </c>
      <c r="M186" s="1" t="n">
        <f aca="false">ROUND(SUMIF(A:A,A186,J:J)*L186,0)</f>
        <v>402</v>
      </c>
      <c r="N186" s="1" t="str">
        <f aca="false">IF(O186=1,"Yes",IF(AND(O186&gt;1,SUMIFS(L:L,B:B,"&lt;&gt;Green",A:A,A186)+5%&gt;=SUMIFS(L:L,A:A,A186,B:B,"&lt;&gt;Green",O:O,1)),"No","Yes"))</f>
        <v>No</v>
      </c>
      <c r="O186" s="1" t="n">
        <f aca="false">COUNTIFS(A:A,A186,P:P,"&gt;"&amp;P186)+1</f>
        <v>6</v>
      </c>
      <c r="P186" s="25" t="n">
        <f aca="false">SUMIFS(L:L,A:A,A186,B:B,B186)</f>
        <v>0.108915239350022</v>
      </c>
    </row>
    <row r="187" customFormat="false" ht="13.8" hidden="false" customHeight="false" outlineLevel="0" collapsed="false">
      <c r="A187" s="1" t="s">
        <v>427</v>
      </c>
      <c r="B187" s="27" t="s">
        <v>297</v>
      </c>
      <c r="C187" s="1" t="s">
        <v>432</v>
      </c>
      <c r="D187" s="1" t="n">
        <v>74</v>
      </c>
      <c r="E187" s="25" t="n">
        <v>0.038</v>
      </c>
      <c r="F187" s="1" t="n">
        <v>1949</v>
      </c>
      <c r="G187" s="1" t="n">
        <v>7143</v>
      </c>
      <c r="H187" s="28" t="n">
        <f aca="false">ROUND(D187*IF(ISNUMBER(SEARCH("Labour",B187)),National!$L$4,IF(ISNUMBER(SEARCH("Conservative",B187)),National!$L$5,IF(OR(ISNUMBER(SEARCH("Reform",B187)),ISNUMBER(SEARCH("RefUK",B187))),National!$L$6,IF(ISNUMBER(SEARCH("Green",B187)),National!$L$7,IF(OR(ISNUMBER(SEARCH("Liberal Democrat",B187)),ISNUMBER(SEARCH("Lib Dem",B187))),National!$L$8,National!$L$9))))),0)</f>
        <v>85</v>
      </c>
      <c r="I187" s="25" t="n">
        <f aca="false">H187/SUMIFS(H:H,A:A,A187)</f>
        <v>0.0378113879003559</v>
      </c>
      <c r="J187" s="29" t="n">
        <f aca="false">ROUND(I187*SUMIF(A:A,A187,D:D),0)</f>
        <v>140</v>
      </c>
      <c r="K187" s="24" t="n">
        <f aca="false">ROUND(AVERAGEIFS(J:J,A:A,A187,B:B,B187)/COUNTIFS(B:B,B187,A:A,A187),0)</f>
        <v>140</v>
      </c>
      <c r="L187" s="25" t="n">
        <f aca="false">K187/SUMIF(A:A,A187,K:K)</f>
        <v>0.0614844093104963</v>
      </c>
      <c r="M187" s="1" t="n">
        <f aca="false">ROUND(SUMIF(A:A,A187,J:J)*L187,0)</f>
        <v>227</v>
      </c>
      <c r="N187" s="1" t="str">
        <f aca="false">IF(O187=1,"Yes",IF(AND(O187&gt;1,SUMIFS(L:L,B:B,"&lt;&gt;Green",A:A,A187)+5%&gt;=SUMIFS(L:L,A:A,A187,B:B,"&lt;&gt;Green",O:O,1)),"No","Yes"))</f>
        <v>No</v>
      </c>
      <c r="O187" s="1" t="n">
        <f aca="false">COUNTIFS(A:A,A187,P:P,"&gt;"&amp;P187)+1</f>
        <v>7</v>
      </c>
      <c r="P187" s="25" t="n">
        <f aca="false">SUMIFS(L:L,A:A,A187,B:B,B187)</f>
        <v>0.0614844093104963</v>
      </c>
    </row>
  </sheetData>
  <autoFilter ref="A1:P187"/>
  <hyperlinks>
    <hyperlink ref="B2" r:id="rId1" display="Independent"/>
    <hyperlink ref="B3" r:id="rId2" display="Independent"/>
    <hyperlink ref="B4" r:id="rId3" display="Conservative"/>
    <hyperlink ref="B5" r:id="rId4" display="Labour"/>
    <hyperlink ref="B6" r:id="rId5" display="Reform"/>
    <hyperlink ref="B7" r:id="rId6" display="Green"/>
    <hyperlink ref="B8" r:id="rId7" display="Liberal Democrats"/>
    <hyperlink ref="B9" r:id="rId8" display="Labour Co-op"/>
    <hyperlink ref="B10" r:id="rId9" display="Labour Co-op"/>
    <hyperlink ref="B11" r:id="rId10" display="Labour Co-op"/>
    <hyperlink ref="B12" r:id="rId11" display="Conservative"/>
    <hyperlink ref="B13" r:id="rId12" display="Conservative"/>
    <hyperlink ref="B14" r:id="rId13" display="Conservative"/>
    <hyperlink ref="B15" r:id="rId14" display="Green"/>
    <hyperlink ref="B16" r:id="rId15" display="Liberal Democrats"/>
    <hyperlink ref="B17" r:id="rId16" display="Conservative"/>
    <hyperlink ref="B18" r:id="rId17" display="Conservative"/>
    <hyperlink ref="B19" r:id="rId18" display="Green"/>
    <hyperlink ref="B20" r:id="rId19" display="Green"/>
    <hyperlink ref="B21" r:id="rId20" display="Labour"/>
    <hyperlink ref="B22" r:id="rId21" display="Labour"/>
    <hyperlink ref="B23" r:id="rId22" display="Liberal Democrats"/>
    <hyperlink ref="B24" r:id="rId23" display="Conservative"/>
    <hyperlink ref="B25" r:id="rId24" display="Liberal Democrats"/>
    <hyperlink ref="B26" r:id="rId25" display="Labour"/>
    <hyperlink ref="B27" r:id="rId26" display="Green"/>
    <hyperlink ref="B28" r:id="rId27" display="Labour Co-op"/>
    <hyperlink ref="B29" r:id="rId28" display="Labour Co-op"/>
    <hyperlink ref="B30" r:id="rId29" display="Labour Co-op"/>
    <hyperlink ref="B31" r:id="rId30" display="Conservative"/>
    <hyperlink ref="B32" r:id="rId31" display="Conservative"/>
    <hyperlink ref="B33" r:id="rId32" display="Conservative"/>
    <hyperlink ref="B34" r:id="rId33" display="Green"/>
    <hyperlink ref="B35" r:id="rId34" display="Liberal Democrats"/>
    <hyperlink ref="B36" r:id="rId35" display="Labour Co-op"/>
    <hyperlink ref="B37" r:id="rId36" display="Labour Co-op"/>
    <hyperlink ref="B38" r:id="rId37" display="Labour Co-op"/>
    <hyperlink ref="B39" r:id="rId38" display="Conservative"/>
    <hyperlink ref="B40" r:id="rId39" display="Conservative"/>
    <hyperlink ref="B41" r:id="rId40" display="Conservative"/>
    <hyperlink ref="B42" r:id="rId41" display="Green"/>
    <hyperlink ref="B43" r:id="rId42" display="Liberal Democrats"/>
    <hyperlink ref="B44" r:id="rId43" display="Labour Co-op"/>
    <hyperlink ref="B45" r:id="rId44" display="Labour Co-op"/>
    <hyperlink ref="B46" r:id="rId45" display="Labour Co-op"/>
    <hyperlink ref="B47" r:id="rId46" display="Conservative"/>
    <hyperlink ref="B48" r:id="rId47" display="Conservative"/>
    <hyperlink ref="B49" r:id="rId48" display="Green"/>
    <hyperlink ref="B50" r:id="rId49" display="Conservative"/>
    <hyperlink ref="B51" r:id="rId50" display="Liberal Democrats"/>
    <hyperlink ref="B52" r:id="rId51" display="Conservative"/>
    <hyperlink ref="B53" r:id="rId52" display="Conservative"/>
    <hyperlink ref="B54" r:id="rId53" display="Labour"/>
    <hyperlink ref="B55" r:id="rId54" display="Labour"/>
    <hyperlink ref="B56" r:id="rId55" display="Green"/>
    <hyperlink ref="B57" r:id="rId56" display="Liberal Democrats"/>
    <hyperlink ref="B58" r:id="rId57" display="SDP"/>
    <hyperlink ref="B59" r:id="rId58" display="CPA"/>
    <hyperlink ref="B60" r:id="rId59" display="Independent"/>
    <hyperlink ref="B61" r:id="rId60" display="Independent"/>
    <hyperlink ref="B62" r:id="rId61" display="Independent"/>
    <hyperlink ref="B63" r:id="rId62" display="Conservative"/>
    <hyperlink ref="B64" r:id="rId63" display="Conservative"/>
    <hyperlink ref="B65" r:id="rId64" display="Conservative"/>
    <hyperlink ref="B66" r:id="rId65" display="Labour"/>
    <hyperlink ref="B67" r:id="rId66" display="Labour"/>
    <hyperlink ref="B68" r:id="rId67" display="Labour"/>
    <hyperlink ref="B69" r:id="rId68" display="Green"/>
    <hyperlink ref="B70" r:id="rId69" display="Reform"/>
    <hyperlink ref="B71" r:id="rId70" display="Liberal Democrats"/>
    <hyperlink ref="B72" r:id="rId71" display="Conservative"/>
    <hyperlink ref="B73" r:id="rId72" display="Conservative"/>
    <hyperlink ref="B74" r:id="rId73" display="Conservative"/>
    <hyperlink ref="B75" r:id="rId74" display="Labour"/>
    <hyperlink ref="B76" r:id="rId75" display="Labour"/>
    <hyperlink ref="B77" r:id="rId76" display="Labour"/>
    <hyperlink ref="B78" r:id="rId77" display="Green"/>
    <hyperlink ref="B79" r:id="rId78" display="Liberal Democrats"/>
    <hyperlink ref="B80" r:id="rId79" display="Labour Co-op"/>
    <hyperlink ref="B81" r:id="rId80" display="Labour Co-op"/>
    <hyperlink ref="B82" r:id="rId81" display="Conservative"/>
    <hyperlink ref="B83" r:id="rId82" display="Conservative"/>
    <hyperlink ref="B84" r:id="rId83" display="Green"/>
    <hyperlink ref="B85" r:id="rId84" display="Liberal Democrats"/>
    <hyperlink ref="B86" r:id="rId85" display="Conservative"/>
    <hyperlink ref="B87" r:id="rId86" display="Conservative"/>
    <hyperlink ref="B88" r:id="rId87" display="Labour"/>
    <hyperlink ref="B89" r:id="rId88" display="Labour"/>
    <hyperlink ref="B90" r:id="rId89" display="Green"/>
    <hyperlink ref="B91" r:id="rId90" display="Liberal Democrats"/>
    <hyperlink ref="B92" r:id="rId91" display="Conservative"/>
    <hyperlink ref="B93" r:id="rId92" display="Conservative"/>
    <hyperlink ref="B94" r:id="rId93" display="Conservative"/>
    <hyperlink ref="B95" r:id="rId94" display="Labour"/>
    <hyperlink ref="B96" r:id="rId95" display="Labour"/>
    <hyperlink ref="B97" r:id="rId96" display="Labour"/>
    <hyperlink ref="B98" r:id="rId97" display="Liberal Democrats"/>
    <hyperlink ref="B99" r:id="rId98" display="Green"/>
    <hyperlink ref="B100" r:id="rId99" display="Liberal Democrats"/>
    <hyperlink ref="B101" r:id="rId100" display="Liberal Democrats"/>
    <hyperlink ref="B102" r:id="rId101" display="Conservative"/>
    <hyperlink ref="B103" r:id="rId102" display="Conservative"/>
    <hyperlink ref="B104" r:id="rId103" display="Conservative"/>
    <hyperlink ref="B105" r:id="rId104" display="Labour"/>
    <hyperlink ref="B106" r:id="rId105" display="Labour"/>
    <hyperlink ref="B107" r:id="rId106" display="Labour"/>
    <hyperlink ref="B108" r:id="rId107" display="Green"/>
    <hyperlink ref="B109" r:id="rId108" display="Liberal Democrats"/>
    <hyperlink ref="B110" r:id="rId109" display="CPA"/>
    <hyperlink ref="B111" r:id="rId110" display="Conservative"/>
    <hyperlink ref="B112" r:id="rId111" display="Conservative"/>
    <hyperlink ref="B113" r:id="rId112" display="Labour"/>
    <hyperlink ref="B114" r:id="rId113" display="Labour"/>
    <hyperlink ref="B115" r:id="rId114" display="Green"/>
    <hyperlink ref="B116" r:id="rId115" display="Liberal Democrats"/>
    <hyperlink ref="B117" r:id="rId116" display="Independent"/>
    <hyperlink ref="B118" r:id="rId117" display="Independent"/>
    <hyperlink ref="B119" r:id="rId118" display="Labour Co-op"/>
    <hyperlink ref="B120" r:id="rId119" display="Labour Co-op"/>
    <hyperlink ref="C120" r:id="rId120" display="Lauren Edwards*"/>
    <hyperlink ref="B121" r:id="rId121" display="Labour Co-op"/>
    <hyperlink ref="C121" r:id="rId122" display="Tris Osborne*"/>
    <hyperlink ref="B122" r:id="rId123" display="Conservative"/>
    <hyperlink ref="B123" r:id="rId124" display="Conservative"/>
    <hyperlink ref="B124" r:id="rId125" display="Conservative"/>
    <hyperlink ref="B125" r:id="rId126" display="Green"/>
    <hyperlink ref="B126" r:id="rId127" display="Liberal Democrats"/>
    <hyperlink ref="B127" r:id="rId128" display="Labour Co-op"/>
    <hyperlink ref="B128" r:id="rId129" display="Labour Co-op"/>
    <hyperlink ref="B129" r:id="rId130" display="Labour Co-op"/>
    <hyperlink ref="B130" r:id="rId131" display="Conservative"/>
    <hyperlink ref="B131" r:id="rId132" display="Conservative"/>
    <hyperlink ref="B132" r:id="rId133" display="Conservative"/>
    <hyperlink ref="B133" r:id="rId134" display="Green"/>
    <hyperlink ref="B134" r:id="rId135" display="Liberal Democrats"/>
    <hyperlink ref="B135" r:id="rId136" display="Conservative"/>
    <hyperlink ref="B136" r:id="rId137" display="Liberal Democrats"/>
    <hyperlink ref="B137" r:id="rId138" display="Labour"/>
    <hyperlink ref="B138" r:id="rId139" display="Green"/>
    <hyperlink ref="B139" r:id="rId140" display="Labour Co-op"/>
    <hyperlink ref="B140" r:id="rId141" display="Labour Co-op"/>
    <hyperlink ref="B141" r:id="rId142" display="Labour Co-op"/>
    <hyperlink ref="B142" r:id="rId143" display="Conservative"/>
    <hyperlink ref="B143" r:id="rId144" display="Conservative"/>
    <hyperlink ref="B144" r:id="rId145" display="Conservative"/>
    <hyperlink ref="B145" r:id="rId146" display="Green"/>
    <hyperlink ref="B146" r:id="rId147" display="Liberal Democrats"/>
    <hyperlink ref="B147" r:id="rId148" display="Heritage"/>
    <hyperlink ref="B148" r:id="rId149" display="Conservative"/>
    <hyperlink ref="B149" r:id="rId150" display="Conservative"/>
    <hyperlink ref="B150" r:id="rId151" display="Conservative"/>
    <hyperlink ref="B151" r:id="rId152" display="Labour"/>
    <hyperlink ref="B152" r:id="rId153" display="Labour"/>
    <hyperlink ref="B153" r:id="rId154" display="Labour"/>
    <hyperlink ref="B154" r:id="rId155" display="Green"/>
    <hyperlink ref="B155" r:id="rId156" display="Liberal Democrats"/>
    <hyperlink ref="B156" r:id="rId157" display="Liberal Democrats"/>
    <hyperlink ref="B157" r:id="rId158" display="Liberal Democrats"/>
    <hyperlink ref="B158" r:id="rId159" display="Labour Co-op"/>
    <hyperlink ref="B159" r:id="rId160" display="Labour Co-op"/>
    <hyperlink ref="B160" r:id="rId161" display="Labour Co-op"/>
    <hyperlink ref="B161" r:id="rId162" display="Conservative"/>
    <hyperlink ref="B162" r:id="rId163" display="Conservative"/>
    <hyperlink ref="B163" r:id="rId164" display="Conservative"/>
    <hyperlink ref="B164" r:id="rId165" display="Green"/>
    <hyperlink ref="B165" r:id="rId166" display="Liberal Democrats"/>
    <hyperlink ref="B166" r:id="rId167" display="Independent"/>
    <hyperlink ref="B167" r:id="rId168" display="Labour Co-op"/>
    <hyperlink ref="B168" r:id="rId169" display="Labour Co-op"/>
    <hyperlink ref="B169" r:id="rId170" display="Conservative"/>
    <hyperlink ref="B170" r:id="rId171" display="Conservative"/>
    <hyperlink ref="B171" r:id="rId172" display="Green"/>
    <hyperlink ref="B172" r:id="rId173" display="Liberal Democrats"/>
    <hyperlink ref="B173" r:id="rId174" display="Labour Co-op"/>
    <hyperlink ref="B174" r:id="rId175" display="Labour Co-op"/>
    <hyperlink ref="B175" r:id="rId176" display="Labour Co-op"/>
    <hyperlink ref="B176" r:id="rId177" display="Conservative"/>
    <hyperlink ref="B177" r:id="rId178" display="Conservative"/>
    <hyperlink ref="B178" r:id="rId179" display="Conservative"/>
    <hyperlink ref="B179" r:id="rId180" display="Green"/>
    <hyperlink ref="B180" r:id="rId181" display="Liberal Democrats"/>
    <hyperlink ref="B181" r:id="rId182" display="Labour Co-op"/>
    <hyperlink ref="B182" r:id="rId183" display="Labour Co-op"/>
    <hyperlink ref="B183" r:id="rId184" display="Conservative"/>
    <hyperlink ref="B184" r:id="rId185" display="Conservative"/>
    <hyperlink ref="B185" r:id="rId186" display="Green"/>
    <hyperlink ref="B186" r:id="rId187" display="Liberal Democrats"/>
    <hyperlink ref="B187" r:id="rId188" display="SD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89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6" activeCellId="0" sqref="E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4" min="4" style="33" width="11.53"/>
  </cols>
  <sheetData>
    <row r="1" customFormat="false" ht="12.8" hidden="false" customHeight="false" outlineLevel="0" collapsed="false">
      <c r="A1" s="24" t="s">
        <v>433</v>
      </c>
      <c r="B1" s="24" t="s">
        <v>434</v>
      </c>
      <c r="C1" s="24" t="s">
        <v>11</v>
      </c>
      <c r="D1" s="33" t="s">
        <v>435</v>
      </c>
    </row>
    <row r="2" customFormat="false" ht="12.8" hidden="false" customHeight="false" outlineLevel="0" collapsed="false">
      <c r="A2" s="24" t="s">
        <v>239</v>
      </c>
      <c r="B2" s="24" t="s">
        <v>241</v>
      </c>
      <c r="C2" s="24" t="n">
        <v>360.527946808952</v>
      </c>
      <c r="D2" s="33" t="n">
        <v>0.185718120905711</v>
      </c>
    </row>
    <row r="3" customFormat="false" ht="12.8" hidden="false" customHeight="false" outlineLevel="0" collapsed="false">
      <c r="A3" s="24" t="s">
        <v>239</v>
      </c>
      <c r="B3" s="24" t="s">
        <v>219</v>
      </c>
      <c r="C3" s="24" t="n">
        <v>338.19781283489</v>
      </c>
      <c r="D3" s="33" t="n">
        <v>0.174215238652222</v>
      </c>
    </row>
    <row r="4" customFormat="false" ht="12.8" hidden="false" customHeight="false" outlineLevel="0" collapsed="false">
      <c r="A4" s="24" t="s">
        <v>239</v>
      </c>
      <c r="B4" s="24" t="s">
        <v>216</v>
      </c>
      <c r="C4" s="24" t="n">
        <v>352.807231473231</v>
      </c>
      <c r="D4" s="33" t="n">
        <v>0.18174096252759</v>
      </c>
    </row>
    <row r="5" customFormat="false" ht="12.8" hidden="false" customHeight="false" outlineLevel="0" collapsed="false">
      <c r="A5" s="24" t="s">
        <v>239</v>
      </c>
      <c r="B5" s="24" t="s">
        <v>436</v>
      </c>
      <c r="C5" s="24" t="n">
        <v>287.814156900925</v>
      </c>
      <c r="D5" s="33" t="n">
        <v>0.148261195457412</v>
      </c>
    </row>
    <row r="6" customFormat="false" ht="12.8" hidden="false" customHeight="false" outlineLevel="0" collapsed="false">
      <c r="A6" s="24" t="s">
        <v>239</v>
      </c>
      <c r="B6" s="24" t="s">
        <v>437</v>
      </c>
      <c r="C6" s="24" t="n">
        <v>126.560809724739</v>
      </c>
      <c r="D6" s="33" t="n">
        <v>0.0651950451287457</v>
      </c>
    </row>
    <row r="7" customFormat="false" ht="12.8" hidden="false" customHeight="false" outlineLevel="0" collapsed="false">
      <c r="A7" s="24" t="s">
        <v>239</v>
      </c>
      <c r="B7" s="24" t="s">
        <v>244</v>
      </c>
      <c r="C7" s="24" t="n">
        <v>475.356282121029</v>
      </c>
      <c r="D7" s="33" t="n">
        <v>0.24486943732832</v>
      </c>
    </row>
    <row r="8" customFormat="false" ht="12.8" hidden="false" customHeight="false" outlineLevel="0" collapsed="false">
      <c r="A8" s="24" t="s">
        <v>248</v>
      </c>
      <c r="B8" s="24" t="s">
        <v>241</v>
      </c>
      <c r="C8" s="24" t="n">
        <v>1165.97888283737</v>
      </c>
      <c r="D8" s="33" t="n">
        <v>0.156273354961736</v>
      </c>
    </row>
    <row r="9" customFormat="false" ht="12.8" hidden="false" customHeight="false" outlineLevel="0" collapsed="false">
      <c r="A9" s="24" t="s">
        <v>248</v>
      </c>
      <c r="B9" s="24" t="s">
        <v>219</v>
      </c>
      <c r="C9" s="24" t="n">
        <v>1634.60572548016</v>
      </c>
      <c r="D9" s="33" t="n">
        <v>0.219082287441457</v>
      </c>
    </row>
    <row r="10" customFormat="false" ht="12.8" hidden="false" customHeight="false" outlineLevel="0" collapsed="false">
      <c r="A10" s="24" t="s">
        <v>248</v>
      </c>
      <c r="B10" s="24" t="s">
        <v>216</v>
      </c>
      <c r="C10" s="24" t="n">
        <v>1489.2735865392</v>
      </c>
      <c r="D10" s="33" t="n">
        <v>0.199603769202087</v>
      </c>
    </row>
    <row r="11" customFormat="false" ht="12.8" hidden="false" customHeight="false" outlineLevel="0" collapsed="false">
      <c r="A11" s="24" t="s">
        <v>248</v>
      </c>
      <c r="B11" s="24" t="s">
        <v>436</v>
      </c>
      <c r="C11" s="24" t="n">
        <v>1155.96838469631</v>
      </c>
      <c r="D11" s="33" t="n">
        <v>0.154931671889796</v>
      </c>
    </row>
    <row r="12" customFormat="false" ht="12.8" hidden="false" customHeight="false" outlineLevel="0" collapsed="false">
      <c r="A12" s="24" t="s">
        <v>248</v>
      </c>
      <c r="B12" s="24" t="s">
        <v>437</v>
      </c>
      <c r="C12" s="24" t="n">
        <v>499.87533960075</v>
      </c>
      <c r="D12" s="33" t="n">
        <v>0.0669970936282744</v>
      </c>
    </row>
    <row r="13" customFormat="false" ht="12.8" hidden="false" customHeight="false" outlineLevel="0" collapsed="false">
      <c r="A13" s="24" t="s">
        <v>248</v>
      </c>
      <c r="B13" s="24" t="s">
        <v>244</v>
      </c>
      <c r="C13" s="24" t="n">
        <v>1515.44769987671</v>
      </c>
      <c r="D13" s="33" t="n">
        <v>0.20311182287665</v>
      </c>
    </row>
    <row r="14" customFormat="false" ht="12.8" hidden="false" customHeight="false" outlineLevel="0" collapsed="false">
      <c r="A14" s="24" t="s">
        <v>257</v>
      </c>
      <c r="B14" s="24" t="s">
        <v>241</v>
      </c>
      <c r="C14" s="24" t="n">
        <v>586.13211991833</v>
      </c>
      <c r="D14" s="33" t="n">
        <v>0.17246006228266</v>
      </c>
    </row>
    <row r="15" customFormat="false" ht="12.8" hidden="false" customHeight="false" outlineLevel="0" collapsed="false">
      <c r="A15" s="24" t="s">
        <v>257</v>
      </c>
      <c r="B15" s="24" t="s">
        <v>219</v>
      </c>
      <c r="C15" s="24" t="n">
        <v>651.614137203626</v>
      </c>
      <c r="D15" s="33" t="n">
        <v>0.191727105318947</v>
      </c>
    </row>
    <row r="16" customFormat="false" ht="12.8" hidden="false" customHeight="false" outlineLevel="0" collapsed="false">
      <c r="A16" s="24" t="s">
        <v>257</v>
      </c>
      <c r="B16" s="24" t="s">
        <v>216</v>
      </c>
      <c r="C16" s="24" t="n">
        <v>645.971188087718</v>
      </c>
      <c r="D16" s="33" t="n">
        <v>0.190066757211556</v>
      </c>
    </row>
    <row r="17" customFormat="false" ht="12.8" hidden="false" customHeight="false" outlineLevel="0" collapsed="false">
      <c r="A17" s="24" t="s">
        <v>257</v>
      </c>
      <c r="B17" s="24" t="s">
        <v>436</v>
      </c>
      <c r="C17" s="24" t="n">
        <v>511.697574922317</v>
      </c>
      <c r="D17" s="33" t="n">
        <v>0.150558880228719</v>
      </c>
    </row>
    <row r="18" customFormat="false" ht="12.8" hidden="false" customHeight="false" outlineLevel="0" collapsed="false">
      <c r="A18" s="24" t="s">
        <v>257</v>
      </c>
      <c r="B18" s="24" t="s">
        <v>437</v>
      </c>
      <c r="C18" s="24" t="n">
        <v>226.082278774795</v>
      </c>
      <c r="D18" s="33" t="n">
        <v>0.0665211179417018</v>
      </c>
    </row>
    <row r="19" customFormat="false" ht="12.8" hidden="false" customHeight="false" outlineLevel="0" collapsed="false">
      <c r="A19" s="24" t="s">
        <v>257</v>
      </c>
      <c r="B19" s="24" t="s">
        <v>244</v>
      </c>
      <c r="C19" s="24" t="n">
        <v>777.156929558383</v>
      </c>
      <c r="D19" s="33" t="n">
        <v>0.228666077016416</v>
      </c>
    </row>
    <row r="20" customFormat="false" ht="12.8" hidden="false" customHeight="false" outlineLevel="0" collapsed="false">
      <c r="A20" s="24" t="s">
        <v>265</v>
      </c>
      <c r="B20" s="24" t="s">
        <v>241</v>
      </c>
      <c r="C20" s="24" t="n">
        <v>356.867485268003</v>
      </c>
      <c r="D20" s="33" t="n">
        <v>0.184523594210349</v>
      </c>
    </row>
    <row r="21" customFormat="false" ht="12.8" hidden="false" customHeight="false" outlineLevel="0" collapsed="false">
      <c r="A21" s="24" t="s">
        <v>265</v>
      </c>
      <c r="B21" s="24" t="s">
        <v>219</v>
      </c>
      <c r="C21" s="24" t="n">
        <v>335.77479747641</v>
      </c>
      <c r="D21" s="33" t="n">
        <v>0.17361730903859</v>
      </c>
    </row>
    <row r="22" customFormat="false" ht="12.8" hidden="false" customHeight="false" outlineLevel="0" collapsed="false">
      <c r="A22" s="24" t="s">
        <v>265</v>
      </c>
      <c r="B22" s="24" t="s">
        <v>216</v>
      </c>
      <c r="C22" s="24" t="n">
        <v>354.806786697755</v>
      </c>
      <c r="D22" s="33" t="n">
        <v>0.183458079635714</v>
      </c>
    </row>
    <row r="23" customFormat="false" ht="12.8" hidden="false" customHeight="false" outlineLevel="0" collapsed="false">
      <c r="A23" s="24" t="s">
        <v>265</v>
      </c>
      <c r="B23" s="24" t="s">
        <v>436</v>
      </c>
      <c r="C23" s="24" t="n">
        <v>286.420370169987</v>
      </c>
      <c r="D23" s="33" t="n">
        <v>0.148097874815168</v>
      </c>
    </row>
    <row r="24" customFormat="false" ht="12.8" hidden="false" customHeight="false" outlineLevel="0" collapsed="false">
      <c r="A24" s="24" t="s">
        <v>265</v>
      </c>
      <c r="B24" s="24" t="s">
        <v>437</v>
      </c>
      <c r="C24" s="24" t="n">
        <v>127.516958873924</v>
      </c>
      <c r="D24" s="33" t="n">
        <v>0.0659345234450797</v>
      </c>
    </row>
    <row r="25" customFormat="false" ht="12.8" hidden="false" customHeight="false" outlineLevel="0" collapsed="false">
      <c r="A25" s="24" t="s">
        <v>265</v>
      </c>
      <c r="B25" s="24" t="s">
        <v>244</v>
      </c>
      <c r="C25" s="24" t="n">
        <v>472.607391279307</v>
      </c>
      <c r="D25" s="33" t="n">
        <v>0.2443686188551</v>
      </c>
    </row>
    <row r="26" customFormat="false" ht="12.8" hidden="false" customHeight="false" outlineLevel="0" collapsed="false">
      <c r="A26" s="24" t="s">
        <v>270</v>
      </c>
      <c r="B26" s="24" t="s">
        <v>241</v>
      </c>
      <c r="C26" s="24" t="n">
        <v>927.876080431862</v>
      </c>
      <c r="D26" s="33" t="n">
        <v>0.169937764385988</v>
      </c>
    </row>
    <row r="27" customFormat="false" ht="12.8" hidden="false" customHeight="false" outlineLevel="0" collapsed="false">
      <c r="A27" s="24" t="s">
        <v>270</v>
      </c>
      <c r="B27" s="24" t="s">
        <v>219</v>
      </c>
      <c r="C27" s="24" t="n">
        <v>1055.39261025115</v>
      </c>
      <c r="D27" s="33" t="n">
        <v>0.19329204030359</v>
      </c>
    </row>
    <row r="28" customFormat="false" ht="12.8" hidden="false" customHeight="false" outlineLevel="0" collapsed="false">
      <c r="A28" s="24" t="s">
        <v>270</v>
      </c>
      <c r="B28" s="24" t="s">
        <v>216</v>
      </c>
      <c r="C28" s="24" t="n">
        <v>1047.73938994028</v>
      </c>
      <c r="D28" s="33" t="n">
        <v>0.191890375601361</v>
      </c>
    </row>
    <row r="29" customFormat="false" ht="12.8" hidden="false" customHeight="false" outlineLevel="0" collapsed="false">
      <c r="A29" s="24" t="s">
        <v>270</v>
      </c>
      <c r="B29" s="24" t="s">
        <v>436</v>
      </c>
      <c r="C29" s="24" t="n">
        <v>824.386274452057</v>
      </c>
      <c r="D29" s="33" t="n">
        <v>0.150983911995739</v>
      </c>
    </row>
    <row r="30" customFormat="false" ht="12.8" hidden="false" customHeight="false" outlineLevel="0" collapsed="false">
      <c r="A30" s="24" t="s">
        <v>270</v>
      </c>
      <c r="B30" s="24" t="s">
        <v>437</v>
      </c>
      <c r="C30" s="24" t="n">
        <v>366.160706967011</v>
      </c>
      <c r="D30" s="33" t="n">
        <v>0.0670612523161555</v>
      </c>
    </row>
    <row r="31" customFormat="false" ht="12.8" hidden="false" customHeight="false" outlineLevel="0" collapsed="false">
      <c r="A31" s="24" t="s">
        <v>270</v>
      </c>
      <c r="B31" s="24" t="s">
        <v>244</v>
      </c>
      <c r="C31" s="24" t="n">
        <v>1238.53842444329</v>
      </c>
      <c r="D31" s="33" t="n">
        <v>0.226834655397167</v>
      </c>
    </row>
    <row r="32" customFormat="false" ht="12.8" hidden="false" customHeight="false" outlineLevel="0" collapsed="false">
      <c r="A32" s="24" t="s">
        <v>276</v>
      </c>
      <c r="B32" s="24" t="s">
        <v>241</v>
      </c>
      <c r="C32" s="24" t="n">
        <v>963.414885197876</v>
      </c>
      <c r="D32" s="33" t="n">
        <v>0.15783918755408</v>
      </c>
    </row>
    <row r="33" customFormat="false" ht="12.8" hidden="false" customHeight="false" outlineLevel="0" collapsed="false">
      <c r="A33" s="24" t="s">
        <v>276</v>
      </c>
      <c r="B33" s="24" t="s">
        <v>219</v>
      </c>
      <c r="C33" s="24" t="n">
        <v>1314.09086272256</v>
      </c>
      <c r="D33" s="33" t="n">
        <v>0.215291498326568</v>
      </c>
    </row>
    <row r="34" customFormat="false" ht="12.8" hidden="false" customHeight="false" outlineLevel="0" collapsed="false">
      <c r="A34" s="24" t="s">
        <v>276</v>
      </c>
      <c r="B34" s="24" t="s">
        <v>216</v>
      </c>
      <c r="C34" s="24" t="n">
        <v>1209.9214248615</v>
      </c>
      <c r="D34" s="33" t="n">
        <v>0.1982251028488</v>
      </c>
    </row>
    <row r="35" customFormat="false" ht="12.8" hidden="false" customHeight="false" outlineLevel="0" collapsed="false">
      <c r="A35" s="24" t="s">
        <v>276</v>
      </c>
      <c r="B35" s="24" t="s">
        <v>436</v>
      </c>
      <c r="C35" s="24" t="n">
        <v>940.825338747684</v>
      </c>
      <c r="D35" s="33" t="n">
        <v>0.15413827353075</v>
      </c>
    </row>
    <row r="36" customFormat="false" ht="12.8" hidden="false" customHeight="false" outlineLevel="0" collapsed="false">
      <c r="A36" s="24" t="s">
        <v>276</v>
      </c>
      <c r="B36" s="24" t="s">
        <v>437</v>
      </c>
      <c r="C36" s="24" t="n">
        <v>408.86854434517</v>
      </c>
      <c r="D36" s="33" t="n">
        <v>0.0669861757871906</v>
      </c>
    </row>
    <row r="37" customFormat="false" ht="12.8" hidden="false" customHeight="false" outlineLevel="0" collapsed="false">
      <c r="A37" s="24" t="s">
        <v>276</v>
      </c>
      <c r="B37" s="24" t="s">
        <v>244</v>
      </c>
      <c r="C37" s="24" t="n">
        <v>1266.65393262598</v>
      </c>
      <c r="D37" s="33" t="n">
        <v>0.207519761952612</v>
      </c>
    </row>
    <row r="38" customFormat="false" ht="12.8" hidden="false" customHeight="false" outlineLevel="0" collapsed="false">
      <c r="A38" s="24" t="s">
        <v>283</v>
      </c>
      <c r="B38" s="24" t="s">
        <v>241</v>
      </c>
      <c r="C38" s="24" t="n">
        <v>1183.23643253647</v>
      </c>
      <c r="D38" s="33" t="n">
        <v>0.157133695010925</v>
      </c>
    </row>
    <row r="39" customFormat="false" ht="12.8" hidden="false" customHeight="false" outlineLevel="0" collapsed="false">
      <c r="A39" s="24" t="s">
        <v>283</v>
      </c>
      <c r="B39" s="24" t="s">
        <v>219</v>
      </c>
      <c r="C39" s="24" t="n">
        <v>1620.33580204033</v>
      </c>
      <c r="D39" s="33" t="n">
        <v>0.215180453146872</v>
      </c>
    </row>
    <row r="40" customFormat="false" ht="12.8" hidden="false" customHeight="false" outlineLevel="0" collapsed="false">
      <c r="A40" s="24" t="s">
        <v>283</v>
      </c>
      <c r="B40" s="24" t="s">
        <v>216</v>
      </c>
      <c r="C40" s="24" t="n">
        <v>1497.92000030454</v>
      </c>
      <c r="D40" s="33" t="n">
        <v>0.198923645356366</v>
      </c>
    </row>
    <row r="41" customFormat="false" ht="12.8" hidden="false" customHeight="false" outlineLevel="0" collapsed="false">
      <c r="A41" s="24" t="s">
        <v>283</v>
      </c>
      <c r="B41" s="24" t="s">
        <v>436</v>
      </c>
      <c r="C41" s="24" t="n">
        <v>1159.47102047941</v>
      </c>
      <c r="D41" s="33" t="n">
        <v>0.153977650363129</v>
      </c>
    </row>
    <row r="42" customFormat="false" ht="12.8" hidden="false" customHeight="false" outlineLevel="0" collapsed="false">
      <c r="A42" s="24" t="s">
        <v>283</v>
      </c>
      <c r="B42" s="24" t="s">
        <v>437</v>
      </c>
      <c r="C42" s="24" t="n">
        <v>506.434288887098</v>
      </c>
      <c r="D42" s="33" t="n">
        <v>0.0672544293810078</v>
      </c>
    </row>
    <row r="43" customFormat="false" ht="12.8" hidden="false" customHeight="false" outlineLevel="0" collapsed="false">
      <c r="A43" s="24" t="s">
        <v>283</v>
      </c>
      <c r="B43" s="24" t="s">
        <v>244</v>
      </c>
      <c r="C43" s="24" t="n">
        <v>1562.72788463747</v>
      </c>
      <c r="D43" s="33" t="n">
        <v>0.2075301267417</v>
      </c>
    </row>
    <row r="44" customFormat="false" ht="12.8" hidden="false" customHeight="false" outlineLevel="0" collapsed="false">
      <c r="A44" s="24" t="s">
        <v>290</v>
      </c>
      <c r="B44" s="24" t="s">
        <v>241</v>
      </c>
      <c r="C44" s="24" t="n">
        <v>774.051740319585</v>
      </c>
      <c r="D44" s="33" t="n">
        <v>0.199608861507454</v>
      </c>
    </row>
    <row r="45" customFormat="false" ht="12.8" hidden="false" customHeight="false" outlineLevel="0" collapsed="false">
      <c r="A45" s="24" t="s">
        <v>290</v>
      </c>
      <c r="B45" s="24" t="s">
        <v>219</v>
      </c>
      <c r="C45" s="24" t="n">
        <v>605.280671958169</v>
      </c>
      <c r="D45" s="33" t="n">
        <v>0.156086963608083</v>
      </c>
    </row>
    <row r="46" customFormat="false" ht="12.8" hidden="false" customHeight="false" outlineLevel="0" collapsed="false">
      <c r="A46" s="24" t="s">
        <v>290</v>
      </c>
      <c r="B46" s="24" t="s">
        <v>216</v>
      </c>
      <c r="C46" s="24" t="n">
        <v>679.760286129533</v>
      </c>
      <c r="D46" s="33" t="n">
        <v>0.175293419993185</v>
      </c>
    </row>
    <row r="47" customFormat="false" ht="12.8" hidden="false" customHeight="false" outlineLevel="0" collapsed="false">
      <c r="A47" s="24" t="s">
        <v>290</v>
      </c>
      <c r="B47" s="24" t="s">
        <v>436</v>
      </c>
      <c r="C47" s="24" t="n">
        <v>567.183123235218</v>
      </c>
      <c r="D47" s="33" t="n">
        <v>0.146262544992768</v>
      </c>
    </row>
    <row r="48" customFormat="false" ht="12.8" hidden="false" customHeight="false" outlineLevel="0" collapsed="false">
      <c r="A48" s="24" t="s">
        <v>290</v>
      </c>
      <c r="B48" s="24" t="s">
        <v>437</v>
      </c>
      <c r="C48" s="24" t="n">
        <v>249.48012705819</v>
      </c>
      <c r="D48" s="33" t="n">
        <v>0.0643347744561103</v>
      </c>
    </row>
    <row r="49" customFormat="false" ht="12.8" hidden="false" customHeight="false" outlineLevel="0" collapsed="false">
      <c r="A49" s="24" t="s">
        <v>290</v>
      </c>
      <c r="B49" s="24" t="s">
        <v>244</v>
      </c>
      <c r="C49" s="24" t="n">
        <v>1002.08662038124</v>
      </c>
      <c r="D49" s="33" t="n">
        <v>0.2584134354424</v>
      </c>
    </row>
    <row r="50" customFormat="false" ht="12.8" hidden="false" customHeight="false" outlineLevel="0" collapsed="false">
      <c r="A50" s="24" t="s">
        <v>301</v>
      </c>
      <c r="B50" s="24" t="s">
        <v>241</v>
      </c>
      <c r="C50" s="24" t="n">
        <v>1064.82790682281</v>
      </c>
      <c r="D50" s="33" t="n">
        <v>0.176237470201896</v>
      </c>
    </row>
    <row r="51" customFormat="false" ht="12.8" hidden="false" customHeight="false" outlineLevel="0" collapsed="false">
      <c r="A51" s="24" t="s">
        <v>301</v>
      </c>
      <c r="B51" s="24" t="s">
        <v>219</v>
      </c>
      <c r="C51" s="24" t="n">
        <v>1151.16797907744</v>
      </c>
      <c r="D51" s="33" t="n">
        <v>0.190527437447971</v>
      </c>
    </row>
    <row r="52" customFormat="false" ht="12.8" hidden="false" customHeight="false" outlineLevel="0" collapsed="false">
      <c r="A52" s="24" t="s">
        <v>301</v>
      </c>
      <c r="B52" s="24" t="s">
        <v>216</v>
      </c>
      <c r="C52" s="24" t="n">
        <v>1136.04419118881</v>
      </c>
      <c r="D52" s="33" t="n">
        <v>0.188024330513711</v>
      </c>
    </row>
    <row r="53" customFormat="false" ht="12.8" hidden="false" customHeight="false" outlineLevel="0" collapsed="false">
      <c r="A53" s="24" t="s">
        <v>301</v>
      </c>
      <c r="B53" s="24" t="s">
        <v>436</v>
      </c>
      <c r="C53" s="24" t="n">
        <v>911.292012530443</v>
      </c>
      <c r="D53" s="33" t="n">
        <v>0.150826061070059</v>
      </c>
    </row>
    <row r="54" customFormat="false" ht="12.8" hidden="false" customHeight="false" outlineLevel="0" collapsed="false">
      <c r="A54" s="24" t="s">
        <v>301</v>
      </c>
      <c r="B54" s="24" t="s">
        <v>437</v>
      </c>
      <c r="C54" s="24" t="n">
        <v>396.912215325491</v>
      </c>
      <c r="D54" s="33" t="n">
        <v>0.0656921219597927</v>
      </c>
    </row>
    <row r="55" customFormat="false" ht="12.8" hidden="false" customHeight="false" outlineLevel="0" collapsed="false">
      <c r="A55" s="24" t="s">
        <v>301</v>
      </c>
      <c r="B55" s="24" t="s">
        <v>244</v>
      </c>
      <c r="C55" s="24" t="n">
        <v>1381.7620039458</v>
      </c>
      <c r="D55" s="33" t="n">
        <v>0.22869257880657</v>
      </c>
    </row>
    <row r="56" customFormat="false" ht="12.8" hidden="false" customHeight="false" outlineLevel="0" collapsed="false">
      <c r="A56" s="24" t="s">
        <v>312</v>
      </c>
      <c r="B56" s="24" t="s">
        <v>241</v>
      </c>
      <c r="C56" s="24" t="n">
        <v>1079.26107575782</v>
      </c>
      <c r="D56" s="33" t="n">
        <v>0.177160292553738</v>
      </c>
    </row>
    <row r="57" customFormat="false" ht="12.8" hidden="false" customHeight="false" outlineLevel="0" collapsed="false">
      <c r="A57" s="24" t="s">
        <v>312</v>
      </c>
      <c r="B57" s="24" t="s">
        <v>219</v>
      </c>
      <c r="C57" s="24" t="n">
        <v>1130.68533485535</v>
      </c>
      <c r="D57" s="33" t="n">
        <v>0.185601565004597</v>
      </c>
    </row>
    <row r="58" customFormat="false" ht="12.8" hidden="false" customHeight="false" outlineLevel="0" collapsed="false">
      <c r="A58" s="24" t="s">
        <v>312</v>
      </c>
      <c r="B58" s="24" t="s">
        <v>216</v>
      </c>
      <c r="C58" s="24" t="n">
        <v>1142.34989312844</v>
      </c>
      <c r="D58" s="33" t="n">
        <v>0.187516297781111</v>
      </c>
    </row>
    <row r="59" customFormat="false" ht="12.8" hidden="false" customHeight="false" outlineLevel="0" collapsed="false">
      <c r="A59" s="24" t="s">
        <v>312</v>
      </c>
      <c r="B59" s="24" t="s">
        <v>436</v>
      </c>
      <c r="C59" s="24" t="n">
        <v>913.972731156138</v>
      </c>
      <c r="D59" s="33" t="n">
        <v>0.150028274043022</v>
      </c>
    </row>
    <row r="60" customFormat="false" ht="12.8" hidden="false" customHeight="false" outlineLevel="0" collapsed="false">
      <c r="A60" s="24" t="s">
        <v>312</v>
      </c>
      <c r="B60" s="24" t="s">
        <v>437</v>
      </c>
      <c r="C60" s="24" t="n">
        <v>402.946648964337</v>
      </c>
      <c r="D60" s="33" t="n">
        <v>0.0661435382203011</v>
      </c>
    </row>
    <row r="61" customFormat="false" ht="12.8" hidden="false" customHeight="false" outlineLevel="0" collapsed="false">
      <c r="A61" s="24" t="s">
        <v>312</v>
      </c>
      <c r="B61" s="24" t="s">
        <v>244</v>
      </c>
      <c r="C61" s="24" t="n">
        <v>1422.7875534347</v>
      </c>
      <c r="D61" s="33" t="n">
        <v>0.233550032397231</v>
      </c>
    </row>
    <row r="62" customFormat="false" ht="12.8" hidden="false" customHeight="false" outlineLevel="0" collapsed="false">
      <c r="A62" s="24" t="s">
        <v>321</v>
      </c>
      <c r="B62" s="24" t="s">
        <v>241</v>
      </c>
      <c r="C62" s="24" t="n">
        <v>705.247043665063</v>
      </c>
      <c r="D62" s="33" t="n">
        <v>0.164095642649641</v>
      </c>
    </row>
    <row r="63" customFormat="false" ht="12.8" hidden="false" customHeight="false" outlineLevel="0" collapsed="false">
      <c r="A63" s="24" t="s">
        <v>321</v>
      </c>
      <c r="B63" s="24" t="s">
        <v>219</v>
      </c>
      <c r="C63" s="24" t="n">
        <v>875.376093254611</v>
      </c>
      <c r="D63" s="33" t="n">
        <v>0.203680970906653</v>
      </c>
    </row>
    <row r="64" customFormat="false" ht="12.8" hidden="false" customHeight="false" outlineLevel="0" collapsed="false">
      <c r="A64" s="24" t="s">
        <v>321</v>
      </c>
      <c r="B64" s="24" t="s">
        <v>216</v>
      </c>
      <c r="C64" s="24" t="n">
        <v>835.262847506184</v>
      </c>
      <c r="D64" s="33" t="n">
        <v>0.194347491384863</v>
      </c>
    </row>
    <row r="65" customFormat="false" ht="12.8" hidden="false" customHeight="false" outlineLevel="0" collapsed="false">
      <c r="A65" s="24" t="s">
        <v>321</v>
      </c>
      <c r="B65" s="24" t="s">
        <v>436</v>
      </c>
      <c r="C65" s="24" t="n">
        <v>655.302020204681</v>
      </c>
      <c r="D65" s="33" t="n">
        <v>0.152474522369163</v>
      </c>
    </row>
    <row r="66" customFormat="false" ht="12.8" hidden="false" customHeight="false" outlineLevel="0" collapsed="false">
      <c r="A66" s="24" t="s">
        <v>321</v>
      </c>
      <c r="B66" s="24" t="s">
        <v>437</v>
      </c>
      <c r="C66" s="24" t="n">
        <v>287.305208518691</v>
      </c>
      <c r="D66" s="33" t="n">
        <v>0.0668496709797681</v>
      </c>
    </row>
    <row r="67" customFormat="false" ht="12.8" hidden="false" customHeight="false" outlineLevel="0" collapsed="false">
      <c r="A67" s="24" t="s">
        <v>321</v>
      </c>
      <c r="B67" s="24" t="s">
        <v>244</v>
      </c>
      <c r="C67" s="24" t="n">
        <v>939.287229265264</v>
      </c>
      <c r="D67" s="33" t="n">
        <v>0.218551701709912</v>
      </c>
    </row>
    <row r="68" customFormat="false" ht="12.8" hidden="false" customHeight="false" outlineLevel="0" collapsed="false">
      <c r="A68" s="24" t="s">
        <v>328</v>
      </c>
      <c r="B68" s="24" t="s">
        <v>241</v>
      </c>
      <c r="C68" s="24" t="n">
        <v>575.511084325886</v>
      </c>
      <c r="D68" s="33" t="n">
        <v>0.169436031068668</v>
      </c>
    </row>
    <row r="69" customFormat="false" ht="12.8" hidden="false" customHeight="false" outlineLevel="0" collapsed="false">
      <c r="A69" s="24" t="s">
        <v>328</v>
      </c>
      <c r="B69" s="24" t="s">
        <v>219</v>
      </c>
      <c r="C69" s="24" t="n">
        <v>668.926181742822</v>
      </c>
      <c r="D69" s="33" t="n">
        <v>0.196938339502498</v>
      </c>
    </row>
    <row r="70" customFormat="false" ht="12.8" hidden="false" customHeight="false" outlineLevel="0" collapsed="false">
      <c r="A70" s="24" t="s">
        <v>328</v>
      </c>
      <c r="B70" s="24" t="s">
        <v>216</v>
      </c>
      <c r="C70" s="24" t="n">
        <v>652.043040446558</v>
      </c>
      <c r="D70" s="33" t="n">
        <v>0.191967779367133</v>
      </c>
    </row>
    <row r="71" customFormat="false" ht="12.8" hidden="false" customHeight="false" outlineLevel="0" collapsed="false">
      <c r="A71" s="24" t="s">
        <v>328</v>
      </c>
      <c r="B71" s="24" t="s">
        <v>436</v>
      </c>
      <c r="C71" s="24" t="n">
        <v>514.71131115506</v>
      </c>
      <c r="D71" s="33" t="n">
        <v>0.151535989633312</v>
      </c>
    </row>
    <row r="72" customFormat="false" ht="12.8" hidden="false" customHeight="false" outlineLevel="0" collapsed="false">
      <c r="A72" s="24" t="s">
        <v>328</v>
      </c>
      <c r="B72" s="24" t="s">
        <v>437</v>
      </c>
      <c r="C72" s="24" t="n">
        <v>226.475737964202</v>
      </c>
      <c r="D72" s="33" t="n">
        <v>0.0666766483202485</v>
      </c>
    </row>
    <row r="73" customFormat="false" ht="12.8" hidden="false" customHeight="false" outlineLevel="0" collapsed="false">
      <c r="A73" s="24" t="s">
        <v>328</v>
      </c>
      <c r="B73" s="24" t="s">
        <v>244</v>
      </c>
      <c r="C73" s="24" t="n">
        <v>758.960154441223</v>
      </c>
      <c r="D73" s="33" t="n">
        <v>0.223445212108141</v>
      </c>
    </row>
    <row r="74" customFormat="false" ht="12.8" hidden="false" customHeight="false" outlineLevel="0" collapsed="false">
      <c r="A74" s="24" t="s">
        <v>335</v>
      </c>
      <c r="B74" s="24" t="s">
        <v>241</v>
      </c>
      <c r="C74" s="24" t="n">
        <v>1051.58537104833</v>
      </c>
      <c r="D74" s="33" t="n">
        <v>0.181685051721868</v>
      </c>
    </row>
    <row r="75" customFormat="false" ht="12.8" hidden="false" customHeight="false" outlineLevel="0" collapsed="false">
      <c r="A75" s="24" t="s">
        <v>335</v>
      </c>
      <c r="B75" s="24" t="s">
        <v>219</v>
      </c>
      <c r="C75" s="24" t="n">
        <v>1055.40054654156</v>
      </c>
      <c r="D75" s="33" t="n">
        <v>0.182344209195811</v>
      </c>
    </row>
    <row r="76" customFormat="false" ht="12.8" hidden="false" customHeight="false" outlineLevel="0" collapsed="false">
      <c r="A76" s="24" t="s">
        <v>335</v>
      </c>
      <c r="B76" s="24" t="s">
        <v>216</v>
      </c>
      <c r="C76" s="24" t="n">
        <v>1072.91329898334</v>
      </c>
      <c r="D76" s="33" t="n">
        <v>0.185369931520197</v>
      </c>
    </row>
    <row r="77" customFormat="false" ht="12.8" hidden="false" customHeight="false" outlineLevel="0" collapsed="false">
      <c r="A77" s="24" t="s">
        <v>335</v>
      </c>
      <c r="B77" s="24" t="s">
        <v>436</v>
      </c>
      <c r="C77" s="24" t="n">
        <v>866.65099212323</v>
      </c>
      <c r="D77" s="33" t="n">
        <v>0.14973347353791</v>
      </c>
    </row>
    <row r="78" customFormat="false" ht="12.8" hidden="false" customHeight="false" outlineLevel="0" collapsed="false">
      <c r="A78" s="24" t="s">
        <v>335</v>
      </c>
      <c r="B78" s="24" t="s">
        <v>437</v>
      </c>
      <c r="C78" s="24" t="n">
        <v>379.097338590059</v>
      </c>
      <c r="D78" s="33" t="n">
        <v>0.0654976014935379</v>
      </c>
    </row>
    <row r="79" customFormat="false" ht="12.8" hidden="false" customHeight="false" outlineLevel="0" collapsed="false">
      <c r="A79" s="24" t="s">
        <v>335</v>
      </c>
      <c r="B79" s="24" t="s">
        <v>244</v>
      </c>
      <c r="C79" s="24" t="n">
        <v>1362.31002589975</v>
      </c>
      <c r="D79" s="33" t="n">
        <v>0.235369732530676</v>
      </c>
    </row>
    <row r="80" customFormat="false" ht="12.8" hidden="false" customHeight="false" outlineLevel="0" collapsed="false">
      <c r="A80" s="24" t="s">
        <v>346</v>
      </c>
      <c r="B80" s="24" t="s">
        <v>241</v>
      </c>
      <c r="C80" s="24" t="n">
        <v>1010.19601513613</v>
      </c>
      <c r="D80" s="33" t="n">
        <v>0.182342676869598</v>
      </c>
    </row>
    <row r="81" customFormat="false" ht="12.8" hidden="false" customHeight="false" outlineLevel="0" collapsed="false">
      <c r="A81" s="24" t="s">
        <v>346</v>
      </c>
      <c r="B81" s="24" t="s">
        <v>219</v>
      </c>
      <c r="C81" s="24" t="n">
        <v>999.263903926681</v>
      </c>
      <c r="D81" s="33" t="n">
        <v>0.180369405948014</v>
      </c>
    </row>
    <row r="82" customFormat="false" ht="12.8" hidden="false" customHeight="false" outlineLevel="0" collapsed="false">
      <c r="A82" s="24" t="s">
        <v>346</v>
      </c>
      <c r="B82" s="24" t="s">
        <v>216</v>
      </c>
      <c r="C82" s="24" t="n">
        <v>1023.09508083479</v>
      </c>
      <c r="D82" s="33" t="n">
        <v>0.184670987547296</v>
      </c>
    </row>
    <row r="83" customFormat="false" ht="12.8" hidden="false" customHeight="false" outlineLevel="0" collapsed="false">
      <c r="A83" s="24" t="s">
        <v>346</v>
      </c>
      <c r="B83" s="24" t="s">
        <v>436</v>
      </c>
      <c r="C83" s="24" t="n">
        <v>827.143565066292</v>
      </c>
      <c r="D83" s="33" t="n">
        <v>0.149301293560661</v>
      </c>
    </row>
    <row r="84" customFormat="false" ht="12.8" hidden="false" customHeight="false" outlineLevel="0" collapsed="false">
      <c r="A84" s="24" t="s">
        <v>346</v>
      </c>
      <c r="B84" s="24" t="s">
        <v>437</v>
      </c>
      <c r="C84" s="24" t="n">
        <v>362.586101144983</v>
      </c>
      <c r="D84" s="33" t="n">
        <v>0.065447615401232</v>
      </c>
    </row>
    <row r="85" customFormat="false" ht="12.8" hidden="false" customHeight="false" outlineLevel="0" collapsed="false">
      <c r="A85" s="24" t="s">
        <v>346</v>
      </c>
      <c r="B85" s="24" t="s">
        <v>244</v>
      </c>
      <c r="C85" s="24" t="n">
        <v>1317.81177471817</v>
      </c>
      <c r="D85" s="33" t="n">
        <v>0.237868020673199</v>
      </c>
    </row>
    <row r="86" customFormat="false" ht="12.8" hidden="false" customHeight="false" outlineLevel="0" collapsed="false">
      <c r="A86" s="24" t="s">
        <v>356</v>
      </c>
      <c r="B86" s="24" t="s">
        <v>241</v>
      </c>
      <c r="C86" s="24" t="n">
        <v>801.484164854835</v>
      </c>
      <c r="D86" s="33" t="n">
        <v>0.192848235535227</v>
      </c>
    </row>
    <row r="87" customFormat="false" ht="12.8" hidden="false" customHeight="false" outlineLevel="0" collapsed="false">
      <c r="A87" s="24" t="s">
        <v>356</v>
      </c>
      <c r="B87" s="24" t="s">
        <v>219</v>
      </c>
      <c r="C87" s="24" t="n">
        <v>688.893018071589</v>
      </c>
      <c r="D87" s="33" t="n">
        <v>0.165757239922145</v>
      </c>
    </row>
    <row r="88" customFormat="false" ht="12.8" hidden="false" customHeight="false" outlineLevel="0" collapsed="false">
      <c r="A88" s="24" t="s">
        <v>356</v>
      </c>
      <c r="B88" s="24" t="s">
        <v>216</v>
      </c>
      <c r="C88" s="24" t="n">
        <v>741.397798595303</v>
      </c>
      <c r="D88" s="33" t="n">
        <v>0.178390620249749</v>
      </c>
    </row>
    <row r="89" customFormat="false" ht="12.8" hidden="false" customHeight="false" outlineLevel="0" collapsed="false">
      <c r="A89" s="24" t="s">
        <v>356</v>
      </c>
      <c r="B89" s="24" t="s">
        <v>436</v>
      </c>
      <c r="C89" s="24" t="n">
        <v>613.848971549703</v>
      </c>
      <c r="D89" s="33" t="n">
        <v>0.147700598763439</v>
      </c>
    </row>
    <row r="90" customFormat="false" ht="12.8" hidden="false" customHeight="false" outlineLevel="0" collapsed="false">
      <c r="A90" s="24" t="s">
        <v>356</v>
      </c>
      <c r="B90" s="24" t="s">
        <v>437</v>
      </c>
      <c r="C90" s="24" t="n">
        <v>268.615081178121</v>
      </c>
      <c r="D90" s="33" t="n">
        <v>0.0646325239036191</v>
      </c>
    </row>
    <row r="91" customFormat="false" ht="12.8" hidden="false" customHeight="false" outlineLevel="0" collapsed="false">
      <c r="A91" s="24" t="s">
        <v>356</v>
      </c>
      <c r="B91" s="24" t="s">
        <v>244</v>
      </c>
      <c r="C91" s="24" t="n">
        <v>1041.79673465656</v>
      </c>
      <c r="D91" s="33" t="n">
        <v>0.250670781625821</v>
      </c>
    </row>
    <row r="92" customFormat="false" ht="12.8" hidden="false" customHeight="false" outlineLevel="0" collapsed="false">
      <c r="A92" s="24" t="s">
        <v>365</v>
      </c>
      <c r="B92" s="24" t="s">
        <v>241</v>
      </c>
      <c r="C92" s="24" t="n">
        <v>906.274586364994</v>
      </c>
      <c r="D92" s="33" t="n">
        <v>0.172973089983962</v>
      </c>
    </row>
    <row r="93" customFormat="false" ht="12.8" hidden="false" customHeight="false" outlineLevel="0" collapsed="false">
      <c r="A93" s="24" t="s">
        <v>365</v>
      </c>
      <c r="B93" s="24" t="s">
        <v>219</v>
      </c>
      <c r="C93" s="24" t="n">
        <v>1014.40764453746</v>
      </c>
      <c r="D93" s="33" t="n">
        <v>0.193611547117057</v>
      </c>
    </row>
    <row r="94" customFormat="false" ht="12.8" hidden="false" customHeight="false" outlineLevel="0" collapsed="false">
      <c r="A94" s="24" t="s">
        <v>365</v>
      </c>
      <c r="B94" s="24" t="s">
        <v>216</v>
      </c>
      <c r="C94" s="24" t="n">
        <v>996.394277828526</v>
      </c>
      <c r="D94" s="33" t="n">
        <v>0.190173485686739</v>
      </c>
    </row>
    <row r="95" customFormat="false" ht="12.8" hidden="false" customHeight="false" outlineLevel="0" collapsed="false">
      <c r="A95" s="24" t="s">
        <v>365</v>
      </c>
      <c r="B95" s="24" t="s">
        <v>436</v>
      </c>
      <c r="C95" s="24" t="n">
        <v>792.56546407976</v>
      </c>
      <c r="D95" s="33" t="n">
        <v>0.1512703758872</v>
      </c>
    </row>
    <row r="96" customFormat="false" ht="12.8" hidden="false" customHeight="false" outlineLevel="0" collapsed="false">
      <c r="A96" s="24" t="s">
        <v>365</v>
      </c>
      <c r="B96" s="24" t="s">
        <v>437</v>
      </c>
      <c r="C96" s="24" t="n">
        <v>347.471736083945</v>
      </c>
      <c r="D96" s="33" t="n">
        <v>0.0663190392589535</v>
      </c>
    </row>
    <row r="97" customFormat="false" ht="12.8" hidden="false" customHeight="false" outlineLevel="0" collapsed="false">
      <c r="A97" s="24" t="s">
        <v>365</v>
      </c>
      <c r="B97" s="24" t="s">
        <v>244</v>
      </c>
      <c r="C97" s="24" t="n">
        <v>1182.28269923459</v>
      </c>
      <c r="D97" s="33" t="n">
        <v>0.225652462066088</v>
      </c>
    </row>
    <row r="98" customFormat="false" ht="12.8" hidden="false" customHeight="false" outlineLevel="0" collapsed="false">
      <c r="A98" s="24" t="s">
        <v>372</v>
      </c>
      <c r="B98" s="24" t="s">
        <v>241</v>
      </c>
      <c r="C98" s="24" t="n">
        <v>918.909442370645</v>
      </c>
      <c r="D98" s="33" t="n">
        <v>0.17361602733954</v>
      </c>
    </row>
    <row r="99" customFormat="false" ht="12.8" hidden="false" customHeight="false" outlineLevel="0" collapsed="false">
      <c r="A99" s="24" t="s">
        <v>372</v>
      </c>
      <c r="B99" s="24" t="s">
        <v>219</v>
      </c>
      <c r="C99" s="24" t="n">
        <v>977.505374703948</v>
      </c>
      <c r="D99" s="33" t="n">
        <v>0.18468696917655</v>
      </c>
    </row>
    <row r="100" customFormat="false" ht="12.8" hidden="false" customHeight="false" outlineLevel="0" collapsed="false">
      <c r="A100" s="24" t="s">
        <v>372</v>
      </c>
      <c r="B100" s="24" t="s">
        <v>216</v>
      </c>
      <c r="C100" s="24" t="n">
        <v>1007.823321219</v>
      </c>
      <c r="D100" s="33" t="n">
        <v>0.19041515215991</v>
      </c>
    </row>
    <row r="101" customFormat="false" ht="12.8" hidden="false" customHeight="false" outlineLevel="0" collapsed="false">
      <c r="A101" s="24" t="s">
        <v>372</v>
      </c>
      <c r="B101" s="24" t="s">
        <v>436</v>
      </c>
      <c r="C101" s="24" t="n">
        <v>794.485876495925</v>
      </c>
      <c r="D101" s="33" t="n">
        <v>0.15010780746658</v>
      </c>
    </row>
    <row r="102" customFormat="false" ht="12.8" hidden="false" customHeight="false" outlineLevel="0" collapsed="false">
      <c r="A102" s="24" t="s">
        <v>372</v>
      </c>
      <c r="B102" s="24" t="s">
        <v>437</v>
      </c>
      <c r="C102" s="24" t="n">
        <v>355.940444731023</v>
      </c>
      <c r="D102" s="33" t="n">
        <v>0.067250332986287</v>
      </c>
    </row>
    <row r="103" customFormat="false" ht="12.8" hidden="false" customHeight="false" outlineLevel="0" collapsed="false">
      <c r="A103" s="24" t="s">
        <v>372</v>
      </c>
      <c r="B103" s="24" t="s">
        <v>244</v>
      </c>
      <c r="C103" s="24" t="n">
        <v>1238.10405069044</v>
      </c>
      <c r="D103" s="33" t="n">
        <v>0.233923710871134</v>
      </c>
    </row>
    <row r="104" customFormat="false" ht="12.8" hidden="false" customHeight="false" outlineLevel="0" collapsed="false">
      <c r="A104" s="24" t="s">
        <v>381</v>
      </c>
      <c r="B104" s="24" t="s">
        <v>241</v>
      </c>
      <c r="C104" s="24" t="n">
        <v>301.84680738326</v>
      </c>
      <c r="D104" s="33" t="n">
        <v>0.169627181575755</v>
      </c>
    </row>
    <row r="105" customFormat="false" ht="12.8" hidden="false" customHeight="false" outlineLevel="0" collapsed="false">
      <c r="A105" s="24" t="s">
        <v>381</v>
      </c>
      <c r="B105" s="24" t="s">
        <v>219</v>
      </c>
      <c r="C105" s="24" t="n">
        <v>336.46381984861</v>
      </c>
      <c r="D105" s="33" t="n">
        <v>0.189080712689683</v>
      </c>
    </row>
    <row r="106" customFormat="false" ht="12.8" hidden="false" customHeight="false" outlineLevel="0" collapsed="false">
      <c r="A106" s="24" t="s">
        <v>381</v>
      </c>
      <c r="B106" s="24" t="s">
        <v>216</v>
      </c>
      <c r="C106" s="24" t="n">
        <v>341.794911991461</v>
      </c>
      <c r="D106" s="33" t="n">
        <v>0.192076597068093</v>
      </c>
    </row>
    <row r="107" customFormat="false" ht="12.8" hidden="false" customHeight="false" outlineLevel="0" collapsed="false">
      <c r="A107" s="24" t="s">
        <v>381</v>
      </c>
      <c r="B107" s="24" t="s">
        <v>436</v>
      </c>
      <c r="C107" s="24" t="n">
        <v>267.640765195637</v>
      </c>
      <c r="D107" s="33" t="n">
        <v>0.150404601156739</v>
      </c>
    </row>
    <row r="108" customFormat="false" ht="12.8" hidden="false" customHeight="false" outlineLevel="0" collapsed="false">
      <c r="A108" s="24" t="s">
        <v>381</v>
      </c>
      <c r="B108" s="24" t="s">
        <v>437</v>
      </c>
      <c r="C108" s="24" t="n">
        <v>120.698583598033</v>
      </c>
      <c r="D108" s="33" t="n">
        <v>0.0678283157387321</v>
      </c>
    </row>
    <row r="109" customFormat="false" ht="12.8" hidden="false" customHeight="false" outlineLevel="0" collapsed="false">
      <c r="A109" s="24" t="s">
        <v>381</v>
      </c>
      <c r="B109" s="24" t="s">
        <v>244</v>
      </c>
      <c r="C109" s="24" t="n">
        <v>411.027037291483</v>
      </c>
      <c r="D109" s="33" t="n">
        <v>0.230982591770999</v>
      </c>
    </row>
    <row r="110" customFormat="false" ht="12.8" hidden="false" customHeight="false" outlineLevel="0" collapsed="false">
      <c r="A110" s="24" t="s">
        <v>386</v>
      </c>
      <c r="B110" s="24" t="s">
        <v>241</v>
      </c>
      <c r="C110" s="24" t="n">
        <v>1082.95998530472</v>
      </c>
      <c r="D110" s="33" t="n">
        <v>0.174085252955782</v>
      </c>
    </row>
    <row r="111" customFormat="false" ht="12.8" hidden="false" customHeight="false" outlineLevel="0" collapsed="false">
      <c r="A111" s="24" t="s">
        <v>386</v>
      </c>
      <c r="B111" s="24" t="s">
        <v>219</v>
      </c>
      <c r="C111" s="24" t="n">
        <v>1181.14481360215</v>
      </c>
      <c r="D111" s="33" t="n">
        <v>0.189868412908612</v>
      </c>
    </row>
    <row r="112" customFormat="false" ht="12.8" hidden="false" customHeight="false" outlineLevel="0" collapsed="false">
      <c r="A112" s="24" t="s">
        <v>386</v>
      </c>
      <c r="B112" s="24" t="s">
        <v>216</v>
      </c>
      <c r="C112" s="24" t="n">
        <v>1177.36434855757</v>
      </c>
      <c r="D112" s="33" t="n">
        <v>0.189260705123923</v>
      </c>
    </row>
    <row r="113" customFormat="false" ht="12.8" hidden="false" customHeight="false" outlineLevel="0" collapsed="false">
      <c r="A113" s="24" t="s">
        <v>386</v>
      </c>
      <c r="B113" s="24" t="s">
        <v>436</v>
      </c>
      <c r="C113" s="24" t="n">
        <v>936.806927201351</v>
      </c>
      <c r="D113" s="33" t="n">
        <v>0.150591225073462</v>
      </c>
    </row>
    <row r="114" customFormat="false" ht="12.8" hidden="false" customHeight="false" outlineLevel="0" collapsed="false">
      <c r="A114" s="24" t="s">
        <v>386</v>
      </c>
      <c r="B114" s="24" t="s">
        <v>437</v>
      </c>
      <c r="C114" s="24" t="n">
        <v>412.695996292608</v>
      </c>
      <c r="D114" s="33" t="n">
        <v>0.0663406662142019</v>
      </c>
    </row>
    <row r="115" customFormat="false" ht="12.8" hidden="false" customHeight="false" outlineLevel="0" collapsed="false">
      <c r="A115" s="24" t="s">
        <v>386</v>
      </c>
      <c r="B115" s="24" t="s">
        <v>244</v>
      </c>
      <c r="C115" s="24" t="n">
        <v>1429.88792101227</v>
      </c>
      <c r="D115" s="33" t="n">
        <v>0.229853737724019</v>
      </c>
    </row>
    <row r="116" customFormat="false" ht="12.8" hidden="false" customHeight="false" outlineLevel="0" collapsed="false">
      <c r="A116" s="24" t="s">
        <v>397</v>
      </c>
      <c r="B116" s="24" t="s">
        <v>241</v>
      </c>
      <c r="C116" s="24" t="n">
        <v>1015.3552419376</v>
      </c>
      <c r="D116" s="33" t="n">
        <v>0.180493693018285</v>
      </c>
    </row>
    <row r="117" customFormat="false" ht="12.8" hidden="false" customHeight="false" outlineLevel="0" collapsed="false">
      <c r="A117" s="24" t="s">
        <v>397</v>
      </c>
      <c r="B117" s="24" t="s">
        <v>219</v>
      </c>
      <c r="C117" s="24" t="n">
        <v>1015.84508269471</v>
      </c>
      <c r="D117" s="33" t="n">
        <v>0.180580769111056</v>
      </c>
    </row>
    <row r="118" customFormat="false" ht="12.8" hidden="false" customHeight="false" outlineLevel="0" collapsed="false">
      <c r="A118" s="24" t="s">
        <v>397</v>
      </c>
      <c r="B118" s="24" t="s">
        <v>216</v>
      </c>
      <c r="C118" s="24" t="n">
        <v>1041.1002150389</v>
      </c>
      <c r="D118" s="33" t="n">
        <v>0.185070224541227</v>
      </c>
    </row>
    <row r="119" customFormat="false" ht="12.8" hidden="false" customHeight="false" outlineLevel="0" collapsed="false">
      <c r="A119" s="24" t="s">
        <v>397</v>
      </c>
      <c r="B119" s="24" t="s">
        <v>436</v>
      </c>
      <c r="C119" s="24" t="n">
        <v>839.119507246155</v>
      </c>
      <c r="D119" s="33" t="n">
        <v>0.149165309333037</v>
      </c>
    </row>
    <row r="120" customFormat="false" ht="12.8" hidden="false" customHeight="false" outlineLevel="0" collapsed="false">
      <c r="A120" s="24" t="s">
        <v>397</v>
      </c>
      <c r="B120" s="24" t="s">
        <v>437</v>
      </c>
      <c r="C120" s="24" t="n">
        <v>370.550270275282</v>
      </c>
      <c r="D120" s="33" t="n">
        <v>0.0658705288242554</v>
      </c>
    </row>
    <row r="121" customFormat="false" ht="12.8" hidden="false" customHeight="false" outlineLevel="0" collapsed="false">
      <c r="A121" s="24" t="s">
        <v>397</v>
      </c>
      <c r="B121" s="24" t="s">
        <v>244</v>
      </c>
      <c r="C121" s="24" t="n">
        <v>1343.46304260201</v>
      </c>
      <c r="D121" s="33" t="n">
        <v>0.23881947517214</v>
      </c>
    </row>
    <row r="122" customFormat="false" ht="12.8" hidden="false" customHeight="false" outlineLevel="0" collapsed="false">
      <c r="A122" s="24" t="s">
        <v>407</v>
      </c>
      <c r="B122" s="24" t="s">
        <v>241</v>
      </c>
      <c r="C122" s="24" t="n">
        <v>977.552875260162</v>
      </c>
      <c r="D122" s="33" t="n">
        <v>0.167728806235539</v>
      </c>
    </row>
    <row r="123" customFormat="false" ht="12.8" hidden="false" customHeight="false" outlineLevel="0" collapsed="false">
      <c r="A123" s="24" t="s">
        <v>407</v>
      </c>
      <c r="B123" s="24" t="s">
        <v>219</v>
      </c>
      <c r="C123" s="24" t="n">
        <v>1175.20197608028</v>
      </c>
      <c r="D123" s="33" t="n">
        <v>0.201641496355</v>
      </c>
    </row>
    <row r="124" customFormat="false" ht="12.8" hidden="false" customHeight="false" outlineLevel="0" collapsed="false">
      <c r="A124" s="24" t="s">
        <v>407</v>
      </c>
      <c r="B124" s="24" t="s">
        <v>216</v>
      </c>
      <c r="C124" s="24" t="n">
        <v>1121.90848909806</v>
      </c>
      <c r="D124" s="33" t="n">
        <v>0.192497384381233</v>
      </c>
    </row>
    <row r="125" customFormat="false" ht="12.8" hidden="false" customHeight="false" outlineLevel="0" collapsed="false">
      <c r="A125" s="24" t="s">
        <v>407</v>
      </c>
      <c r="B125" s="24" t="s">
        <v>436</v>
      </c>
      <c r="C125" s="24" t="n">
        <v>887.658477207183</v>
      </c>
      <c r="D125" s="33" t="n">
        <v>0.152304699310708</v>
      </c>
    </row>
    <row r="126" customFormat="false" ht="12.8" hidden="false" customHeight="false" outlineLevel="0" collapsed="false">
      <c r="A126" s="24" t="s">
        <v>407</v>
      </c>
      <c r="B126" s="24" t="s">
        <v>437</v>
      </c>
      <c r="C126" s="24" t="n">
        <v>385.999329760854</v>
      </c>
      <c r="D126" s="33" t="n">
        <v>0.0662298771013032</v>
      </c>
    </row>
    <row r="127" customFormat="false" ht="12.8" hidden="false" customHeight="false" outlineLevel="0" collapsed="false">
      <c r="A127" s="24" t="s">
        <v>407</v>
      </c>
      <c r="B127" s="24" t="s">
        <v>244</v>
      </c>
      <c r="C127" s="24" t="n">
        <v>1279.85409094458</v>
      </c>
      <c r="D127" s="33" t="n">
        <v>0.219597736616216</v>
      </c>
    </row>
    <row r="128" customFormat="false" ht="12.8" hidden="false" customHeight="false" outlineLevel="0" collapsed="false">
      <c r="A128" s="24" t="s">
        <v>416</v>
      </c>
      <c r="B128" s="24" t="s">
        <v>241</v>
      </c>
      <c r="C128" s="24" t="n">
        <v>700.118158529561</v>
      </c>
      <c r="D128" s="33" t="n">
        <v>0.177857985651585</v>
      </c>
    </row>
    <row r="129" customFormat="false" ht="12.8" hidden="false" customHeight="false" outlineLevel="0" collapsed="false">
      <c r="A129" s="24" t="s">
        <v>416</v>
      </c>
      <c r="B129" s="24" t="s">
        <v>219</v>
      </c>
      <c r="C129" s="24" t="n">
        <v>733.239936649622</v>
      </c>
      <c r="D129" s="33" t="n">
        <v>0.186272240682486</v>
      </c>
    </row>
    <row r="130" customFormat="false" ht="12.8" hidden="false" customHeight="false" outlineLevel="0" collapsed="false">
      <c r="A130" s="24" t="s">
        <v>416</v>
      </c>
      <c r="B130" s="24" t="s">
        <v>216</v>
      </c>
      <c r="C130" s="24" t="n">
        <v>736.356356978635</v>
      </c>
      <c r="D130" s="33" t="n">
        <v>0.18706393596336</v>
      </c>
    </row>
    <row r="131" customFormat="false" ht="12.8" hidden="false" customHeight="false" outlineLevel="0" collapsed="false">
      <c r="A131" s="24" t="s">
        <v>416</v>
      </c>
      <c r="B131" s="24" t="s">
        <v>436</v>
      </c>
      <c r="C131" s="24" t="n">
        <v>591.684842704685</v>
      </c>
      <c r="D131" s="33" t="n">
        <v>0.150311590953525</v>
      </c>
    </row>
    <row r="132" customFormat="false" ht="12.8" hidden="false" customHeight="false" outlineLevel="0" collapsed="false">
      <c r="A132" s="24" t="s">
        <v>416</v>
      </c>
      <c r="B132" s="24" t="s">
        <v>437</v>
      </c>
      <c r="C132" s="24" t="n">
        <v>259.210312336603</v>
      </c>
      <c r="D132" s="33" t="n">
        <v>0.065849776142265</v>
      </c>
    </row>
    <row r="133" customFormat="false" ht="12.8" hidden="false" customHeight="false" outlineLevel="0" collapsed="false">
      <c r="A133" s="24" t="s">
        <v>416</v>
      </c>
      <c r="B133" s="24" t="s">
        <v>244</v>
      </c>
      <c r="C133" s="24" t="n">
        <v>915.779056850298</v>
      </c>
      <c r="D133" s="33" t="n">
        <v>0.232644470606779</v>
      </c>
    </row>
    <row r="134" customFormat="false" ht="12.8" hidden="false" customHeight="false" outlineLevel="0" collapsed="false">
      <c r="A134" s="24" t="s">
        <v>421</v>
      </c>
      <c r="B134" s="24" t="s">
        <v>241</v>
      </c>
      <c r="C134" s="24" t="n">
        <v>1034.14765986637</v>
      </c>
      <c r="D134" s="33" t="n">
        <v>0.178877994218476</v>
      </c>
    </row>
    <row r="135" customFormat="false" ht="12.8" hidden="false" customHeight="false" outlineLevel="0" collapsed="false">
      <c r="A135" s="24" t="s">
        <v>421</v>
      </c>
      <c r="B135" s="24" t="s">
        <v>219</v>
      </c>
      <c r="C135" s="24" t="n">
        <v>1056.26986377139</v>
      </c>
      <c r="D135" s="33" t="n">
        <v>0.182704503348453</v>
      </c>
    </row>
    <row r="136" customFormat="false" ht="12.8" hidden="false" customHeight="false" outlineLevel="0" collapsed="false">
      <c r="A136" s="24" t="s">
        <v>421</v>
      </c>
      <c r="B136" s="24" t="s">
        <v>216</v>
      </c>
      <c r="C136" s="24" t="n">
        <v>1076.66989221733</v>
      </c>
      <c r="D136" s="33" t="n">
        <v>0.186233125335453</v>
      </c>
    </row>
    <row r="137" customFormat="false" ht="12.8" hidden="false" customHeight="false" outlineLevel="0" collapsed="false">
      <c r="A137" s="24" t="s">
        <v>421</v>
      </c>
      <c r="B137" s="24" t="s">
        <v>436</v>
      </c>
      <c r="C137" s="24" t="n">
        <v>864.563621840276</v>
      </c>
      <c r="D137" s="33" t="n">
        <v>0.149544801531566</v>
      </c>
    </row>
    <row r="138" customFormat="false" ht="12.8" hidden="false" customHeight="false" outlineLevel="0" collapsed="false">
      <c r="A138" s="24" t="s">
        <v>421</v>
      </c>
      <c r="B138" s="24" t="s">
        <v>437</v>
      </c>
      <c r="C138" s="24" t="n">
        <v>381.705995415724</v>
      </c>
      <c r="D138" s="33" t="n">
        <v>0.0660242298957138</v>
      </c>
    </row>
    <row r="139" customFormat="false" ht="12.8" hidden="false" customHeight="false" outlineLevel="0" collapsed="false">
      <c r="A139" s="24" t="s">
        <v>421</v>
      </c>
      <c r="B139" s="24" t="s">
        <v>244</v>
      </c>
      <c r="C139" s="24" t="n">
        <v>1367.94471048568</v>
      </c>
      <c r="D139" s="33" t="n">
        <v>0.236615345670338</v>
      </c>
    </row>
    <row r="140" customFormat="false" ht="12.8" hidden="false" customHeight="false" outlineLevel="0" collapsed="false">
      <c r="A140" s="24" t="s">
        <v>427</v>
      </c>
      <c r="B140" s="24" t="s">
        <v>241</v>
      </c>
      <c r="C140" s="24" t="n">
        <v>693.278625395239</v>
      </c>
      <c r="D140" s="33" t="n">
        <v>0.172039385208514</v>
      </c>
    </row>
    <row r="141" customFormat="false" ht="12.8" hidden="false" customHeight="false" outlineLevel="0" collapsed="false">
      <c r="A141" s="24" t="s">
        <v>427</v>
      </c>
      <c r="B141" s="24" t="s">
        <v>219</v>
      </c>
      <c r="C141" s="24" t="n">
        <v>791.095392422185</v>
      </c>
      <c r="D141" s="33" t="n">
        <v>0.196312939658295</v>
      </c>
    </row>
    <row r="142" customFormat="false" ht="12.8" hidden="false" customHeight="false" outlineLevel="0" collapsed="false">
      <c r="A142" s="24" t="s">
        <v>427</v>
      </c>
      <c r="B142" s="24" t="s">
        <v>216</v>
      </c>
      <c r="C142" s="24" t="n">
        <v>766.323475678671</v>
      </c>
      <c r="D142" s="33" t="n">
        <v>0.190165706538911</v>
      </c>
    </row>
    <row r="143" customFormat="false" ht="12.8" hidden="false" customHeight="false" outlineLevel="0" collapsed="false">
      <c r="A143" s="24" t="s">
        <v>427</v>
      </c>
      <c r="B143" s="24" t="s">
        <v>436</v>
      </c>
      <c r="C143" s="24" t="n">
        <v>610.691377128436</v>
      </c>
      <c r="D143" s="33" t="n">
        <v>0.151545086239202</v>
      </c>
    </row>
    <row r="144" customFormat="false" ht="12.8" hidden="false" customHeight="false" outlineLevel="0" collapsed="false">
      <c r="A144" s="24" t="s">
        <v>427</v>
      </c>
      <c r="B144" s="24" t="s">
        <v>437</v>
      </c>
      <c r="C144" s="24" t="n">
        <v>266.087787270853</v>
      </c>
      <c r="D144" s="33" t="n">
        <v>0.0660305649946637</v>
      </c>
    </row>
    <row r="145" customFormat="false" ht="12.8" hidden="false" customHeight="false" outlineLevel="0" collapsed="false">
      <c r="A145" s="24" t="s">
        <v>427</v>
      </c>
      <c r="B145" s="24" t="s">
        <v>244</v>
      </c>
      <c r="C145" s="24" t="n">
        <v>902.290273409186</v>
      </c>
      <c r="D145" s="33" t="n">
        <v>0.223906317360415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9874</TotalTime>
  <Application>LibreOffice/26.2.1.2$MacOSX_AARCH64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2026-03-24T00:56:20Z</dcterms:created>
  <dc:creator>openpyxl</dc:creator>
  <dc:description/>
  <dc:language>en-GB</dc:language>
  <cp:lastModifiedBy/>
  <dcterms:modified xsi:type="dcterms:W3CDTF">2026-04-29T20:49:31Z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