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Saints" sheetId="1" state="visible" r:id="rId3"/>
    <sheet name="Chatham Central &amp; Brompton" sheetId="2" state="visible" r:id="rId4"/>
    <sheet name="Cuxton, Halling &amp; Riverside" sheetId="3" state="visible" r:id="rId5"/>
    <sheet name="Fort Horsted" sheetId="4" state="visible" r:id="rId6"/>
    <sheet name="Fort Pitt" sheetId="5" state="visible" r:id="rId7"/>
    <sheet name="Gillingham North" sheetId="6" state="visible" r:id="rId8"/>
    <sheet name="Gillingham South" sheetId="7" state="visible" r:id="rId9"/>
    <sheet name="Hempstead &amp; Wigmore" sheetId="8" state="visible" r:id="rId10"/>
    <sheet name="Hoo St W &amp; High Halstow" sheetId="9" state="visible" r:id="rId11"/>
    <sheet name="Lordswood &amp; Walderslade" sheetId="10" state="visible" r:id="rId12"/>
    <sheet name="Luton" sheetId="11" state="visible" r:id="rId13"/>
    <sheet name="Princes Park" sheetId="12" state="visible" r:id="rId14"/>
    <sheet name="Rainham North" sheetId="13" state="visible" r:id="rId15"/>
    <sheet name="Rainham South East" sheetId="14" state="visible" r:id="rId16"/>
    <sheet name="Rainham South West" sheetId="15" state="visible" r:id="rId17"/>
    <sheet name="Rochester East &amp; Warren Wood" sheetId="16" state="visible" r:id="rId18"/>
    <sheet name="Rochester West &amp; Borstal" sheetId="17" state="visible" r:id="rId19"/>
    <sheet name="St Mary's Island" sheetId="18" state="visible" r:id="rId20"/>
    <sheet name="Strood N &amp; Frindsbury" sheetId="19" state="visible" r:id="rId21"/>
    <sheet name="Strood Rural" sheetId="20" state="visible" r:id="rId22"/>
    <sheet name="Strood West" sheetId="21" state="visible" r:id="rId23"/>
    <sheet name="Twydall" sheetId="22" state="visible" r:id="rId24"/>
    <sheet name="Watling" sheetId="23" state="visible" r:id="rId25"/>
    <sheet name="Wayfield &amp; Weeds Wood" sheetId="24" state="visible" r:id="rId26"/>
    <sheet name="National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<sst xmlns="http://schemas.openxmlformats.org/spreadsheetml/2006/main" count="707" uniqueCount="226">
  <si>
    <t xml:space="preserve">Electorate (registered electors)</t>
  </si>
  <si>
    <t xml:space="preserve">Councillors elected in ward</t>
  </si>
  <si>
    <t xml:space="preserve">Turnout</t>
  </si>
  <si>
    <t xml:space="preserve">Blank / invalid ballots (rejected)</t>
  </si>
  <si>
    <t xml:space="preserve">2023 result</t>
  </si>
  <si>
    <t xml:space="preserve">Prediction based on national swing since May 2023</t>
  </si>
  <si>
    <t xml:space="preserve">Candidate</t>
  </si>
  <si>
    <t xml:space="preserve">Party</t>
  </si>
  <si>
    <t xml:space="preserve">Votes</t>
  </si>
  <si>
    <t xml:space="preserve">% of votes</t>
  </si>
  <si>
    <t xml:space="preserve">% of electors</t>
  </si>
  <si>
    <t xml:space="preserve">votes</t>
  </si>
  <si>
    <t xml:space="preserve">% of electorate</t>
  </si>
  <si>
    <t xml:space="preserve">Kier Dorran Kemp</t>
  </si>
  <si>
    <t xml:space="preserve">Labour Party</t>
  </si>
  <si>
    <t xml:space="preserve">Habeeb Adeyemi Ogunfemi (commonly known as Harold Ogunfemi)</t>
  </si>
  <si>
    <t xml:space="preserve">Local Conservatives</t>
  </si>
  <si>
    <t xml:space="preserve">Bernard Edward Hyde</t>
  </si>
  <si>
    <t xml:space="preserve">Green Party</t>
  </si>
  <si>
    <t xml:space="preserve">Elizabeth Ann Simpson</t>
  </si>
  <si>
    <t xml:space="preserve">Liberal Democrats</t>
  </si>
  <si>
    <t xml:space="preserve">Harjinder Singh Khatkar (commonly known as Bill Khatkar)</t>
  </si>
  <si>
    <t xml:space="preserve">Reform UK</t>
  </si>
  <si>
    <t xml:space="preserve">Christopher Stuart Spalding (commonly known as Chris Spalding)</t>
  </si>
  <si>
    <t xml:space="preserve">Independent</t>
  </si>
  <si>
    <t xml:space="preserve">Julie Wallace</t>
  </si>
  <si>
    <t xml:space="preserve">Vince Maple (Vincent Stewart Maple; commonly known as Vince Maple)</t>
  </si>
  <si>
    <t xml:space="preserve">Labour and Co-operative Party</t>
  </si>
  <si>
    <t xml:space="preserve">Nina Gurung</t>
  </si>
  <si>
    <t xml:space="preserve">Shakirat Oyindamola Animashaun (commonly known as Damola Animashaun)</t>
  </si>
  <si>
    <t xml:space="preserve">Vrinderpal Singh Khera (commonly known as Paul Khera)</t>
  </si>
  <si>
    <t xml:space="preserve">Claude Jenner Granville King</t>
  </si>
  <si>
    <t xml:space="preserve">Habib Odunlamin Tejan</t>
  </si>
  <si>
    <t xml:space="preserve">Robert Gerald Edward O'Hanlon (commonly known as Rob O'Hanlon)</t>
  </si>
  <si>
    <t xml:space="preserve">Geoffrey William Juby (commonly known as Geoff Juby)</t>
  </si>
  <si>
    <t xml:space="preserve">prediction based in national swing since May 2023</t>
  </si>
  <si>
    <t xml:space="preserve">Stephen Joseph Donald McCormack</t>
  </si>
  <si>
    <t xml:space="preserve">Victoria Valerie Morris</t>
  </si>
  <si>
    <t xml:space="preserve">Matt Fearn (Matthew James Fearn; commonly known as Matt Fearn)</t>
  </si>
  <si>
    <t xml:space="preserve">Phil Filmer (Phillip Filmer; commonly known as Phil Filmer)</t>
  </si>
  <si>
    <t xml:space="preserve">Matt Nightingale (Matthew Richard Nightingale; commonly known as Matt Nightingale)</t>
  </si>
  <si>
    <t xml:space="preserve">Cat Jamieson (Catriona Margaret Jamieson; commonly known as Cat Jamieson)</t>
  </si>
  <si>
    <t xml:space="preserve">Ron Gillett (Ronald Arcon Gillett; commonly known as Ron Gillett)</t>
  </si>
  <si>
    <t xml:space="preserve">Joseph Simon Murray</t>
  </si>
  <si>
    <t xml:space="preserve">Trevor Anthony Clarke</t>
  </si>
  <si>
    <t xml:space="preserve">Matthews John Knott</t>
  </si>
  <si>
    <t xml:space="preserve">Vivienne Parker (commonly known as Viv Parker)</t>
  </si>
  <si>
    <t xml:space="preserve">Smitha Campbell</t>
  </si>
  <si>
    <t xml:space="preserve">Harinder Singh Mahil</t>
  </si>
  <si>
    <t xml:space="preserve">Gareth Richard Myton</t>
  </si>
  <si>
    <t xml:space="preserve">Rupert David Fearon Turpin</t>
  </si>
  <si>
    <t xml:space="preserve">Richard Niall Thorne</t>
  </si>
  <si>
    <t xml:space="preserve">Gloria Blessing Chukwuka Opara</t>
  </si>
  <si>
    <t xml:space="preserve">Karen Scott</t>
  </si>
  <si>
    <t xml:space="preserve">Nirmal Sandhu</t>
  </si>
  <si>
    <t xml:space="preserve">Adam Robert William Price</t>
  </si>
  <si>
    <t xml:space="preserve">Douglas Kudakwashe Hamandishe</t>
  </si>
  <si>
    <t xml:space="preserve">Lia Helen Mandaracas</t>
  </si>
  <si>
    <t xml:space="preserve">Clayton Barrett</t>
  </si>
  <si>
    <t xml:space="preserve">Conservative Party candidate</t>
  </si>
  <si>
    <t xml:space="preserve">Zarina Bibi Chishti</t>
  </si>
  <si>
    <t xml:space="preserve">Harbans Singh Sidhu</t>
  </si>
  <si>
    <t xml:space="preserve">Jeremy Spyby-Steanson</t>
  </si>
  <si>
    <t xml:space="preserve">Ben Darryl Rist</t>
  </si>
  <si>
    <t xml:space="preserve">Rory Craig McDonald (commonly known as Dan McDonald)</t>
  </si>
  <si>
    <t xml:space="preserve">Naushabah Parveen Khan</t>
  </si>
  <si>
    <t xml:space="preserve">Louwella Margaret Prenter</t>
  </si>
  <si>
    <t xml:space="preserve">Amy Smith</t>
  </si>
  <si>
    <t xml:space="preserve">Adenike Sijuwade Adeoye (commonly known as Siju Adeoye)</t>
  </si>
  <si>
    <t xml:space="preserve">George Georghiou</t>
  </si>
  <si>
    <t xml:space="preserve">Daniel Luis Belmonte</t>
  </si>
  <si>
    <t xml:space="preserve">Christopher John Sams</t>
  </si>
  <si>
    <t xml:space="preserve">Lewis John William Bailey</t>
  </si>
  <si>
    <t xml:space="preserve">Haroon Ali Kahn</t>
  </si>
  <si>
    <t xml:space="preserve">Jim Gilbourne (James Adrian Gilbourne; commonly known as Jim Gilbourne)</t>
  </si>
  <si>
    <t xml:space="preserve">Andrew William John Lawrence</t>
  </si>
  <si>
    <t xml:space="preserve">Kathryn Amanda Korff (commonly known as Kat Korff)</t>
  </si>
  <si>
    <t xml:space="preserve">Daniele Erico Sergio Cavaliere (commonly known as Daniel Cavaliere)</t>
  </si>
  <si>
    <t xml:space="preserve">Peter Anthony Wheeler</t>
  </si>
  <si>
    <t xml:space="preserve">Social Democratic Party</t>
  </si>
  <si>
    <t xml:space="preserve">John Wesley Gibson</t>
  </si>
  <si>
    <t xml:space="preserve">Christian Peoples Alliance</t>
  </si>
  <si>
    <t xml:space="preserve">Gary Barwell</t>
  </si>
  <si>
    <t xml:space="preserve">Guiliana Paola Christmas</t>
  </si>
  <si>
    <t xml:space="preserve">Stephen Allan Vickery</t>
  </si>
  <si>
    <t xml:space="preserve">Robert John Tildesley</t>
  </si>
  <si>
    <t xml:space="preserve">Christopher John Sparks (commonly known as Chris Sparks)</t>
  </si>
  <si>
    <t xml:space="preserve">Fatima Mitchell</t>
  </si>
  <si>
    <t xml:space="preserve">Julian Charles Sutton</t>
  </si>
  <si>
    <t xml:space="preserve">Aaron Robert Sergejenkovs-Telford (commonly known as Aaron Sergejenkovs-Telford)</t>
  </si>
  <si>
    <t xml:space="preserve">Steven John Hudson (commonly known as Steve Hudson)</t>
  </si>
  <si>
    <t xml:space="preserve">George Josiah Thomas Crozer</t>
  </si>
  <si>
    <t xml:space="preserve">Ronald Philip Sands (commonly known as Ron Sands)</t>
  </si>
  <si>
    <t xml:space="preserve">Michael Ian Pearce</t>
  </si>
  <si>
    <t xml:space="preserve">Christine Janice Godwin</t>
  </si>
  <si>
    <t xml:space="preserve">David Alun Bowen</t>
  </si>
  <si>
    <t xml:space="preserve">Brad Cook (Bradley Charles George Cook; commonly known as Brad Cook)</t>
  </si>
  <si>
    <t xml:space="preserve">David Frederick Brake</t>
  </si>
  <si>
    <t xml:space="preserve">David Robert Wildey</t>
  </si>
  <si>
    <t xml:space="preserve">Adrian Victor Henry Gulvin</t>
  </si>
  <si>
    <t xml:space="preserve">Sonia Lesley Hyner</t>
  </si>
  <si>
    <t xml:space="preserve">Matthew William Vincent</t>
  </si>
  <si>
    <t xml:space="preserve">Simon Michael Curry</t>
  </si>
  <si>
    <t xml:space="preserve">Jo Howcroft-Scott (Joanne Christine Howcroft-Scott; commonly known as Jo Howcroft-Scott)</t>
  </si>
  <si>
    <t xml:space="preserve">Lulu Lammas (Marianna Hendrika Lammas; commonly known as Lulu Lammas)</t>
  </si>
  <si>
    <t xml:space="preserve">Mos Igani (Mosueneme Igani; commonly known as Mos Igani)</t>
  </si>
  <si>
    <t xml:space="preserve">Debbie Sutton (Deborah Susan Sutton; commonly known as Debbie Sutton)</t>
  </si>
  <si>
    <t xml:space="preserve">Paul Anthony O'Neill</t>
  </si>
  <si>
    <t xml:space="preserve">John Gower Strevens</t>
  </si>
  <si>
    <t xml:space="preserve">Temi Olodo (Temitope Omontanwa Olodo; commonly known as Temi Olodo)</t>
  </si>
  <si>
    <t xml:space="preserve">Robbie Lammas (Robert George Benedict Lammas; commonly known as Robbie Lammas)</t>
  </si>
  <si>
    <t xml:space="preserve">Alex Hyne (Alexander Thomas Hyne; commonly known as Alex)</t>
  </si>
  <si>
    <t xml:space="preserve">Simon Phillip Marchant</t>
  </si>
  <si>
    <t xml:space="preserve">Ian Christopher Sailes</t>
  </si>
  <si>
    <t xml:space="preserve">Mark Richard Harrison</t>
  </si>
  <si>
    <t xml:space="preserve">Nikita Morris (Nonchalonte Nikita Morris; commonly known as Nikita Morris)</t>
  </si>
  <si>
    <t xml:space="preserve">Mutz Khan (Ahmed Mutahir Khan; commonly known as Mutz Khan)</t>
  </si>
  <si>
    <t xml:space="preserve">George Harry Perfect</t>
  </si>
  <si>
    <t xml:space="preserve">Wayne Ronald Spring</t>
  </si>
  <si>
    <t xml:space="preserve">Kwashie Amartei Anang</t>
  </si>
  <si>
    <t xml:space="preserve">Trish Marchant (Patricia Anne Marchant; commonly known as Trish Marchant)</t>
  </si>
  <si>
    <t xml:space="preserve">Stuart James Bourne</t>
  </si>
  <si>
    <t xml:space="preserve">Rosell Alan William Collins</t>
  </si>
  <si>
    <t xml:space="preserve">Nicholas Chan (Yu Hin Nick Chan; commonly known as Nicholas Chan)</t>
  </si>
  <si>
    <t xml:space="preserve">Katrina Karen Campbell</t>
  </si>
  <si>
    <t xml:space="preserve">Iain Michael Childs</t>
  </si>
  <si>
    <t xml:space="preserve">Chiron Peter Mottram</t>
  </si>
  <si>
    <t xml:space="preserve">Roger Barrett</t>
  </si>
  <si>
    <t xml:space="preserve">Howard Francis Doe</t>
  </si>
  <si>
    <t xml:space="preserve">Gary John Hackwell</t>
  </si>
  <si>
    <t xml:space="preserve">Mary Winifred Smith</t>
  </si>
  <si>
    <t xml:space="preserve">Christopher Charles Moore</t>
  </si>
  <si>
    <t xml:space="preserve">Roger James Peacock</t>
  </si>
  <si>
    <t xml:space="preserve">Christopher David Brown</t>
  </si>
  <si>
    <t xml:space="preserve">Alpa Arya Shah</t>
  </si>
  <si>
    <t xml:space="preserve">Barry Joseph Kemp</t>
  </si>
  <si>
    <t xml:space="preserve">Mark Paul Joy</t>
  </si>
  <si>
    <t xml:space="preserve">Liz O'Hanlon (Elizabeth Lindsey O'Hanlon; commonly known as Liz O'Hanlon)</t>
  </si>
  <si>
    <t xml:space="preserve">Alan John Jefferies</t>
  </si>
  <si>
    <t xml:space="preserve">Matt Durcan (Matthew Bernard Durcan; commonly known as Matt Durcan)</t>
  </si>
  <si>
    <t xml:space="preserve">Callum John Evans</t>
  </si>
  <si>
    <t xml:space="preserve">Teresa Margaret Murray</t>
  </si>
  <si>
    <t xml:space="preserve">Lauren Rae Edwards</t>
  </si>
  <si>
    <t xml:space="preserve">Tristan John Osborne</t>
  </si>
  <si>
    <t xml:space="preserve">George Harvey Samuel Clarke</t>
  </si>
  <si>
    <t xml:space="preserve">Sylvia Mary Griffin</t>
  </si>
  <si>
    <t xml:space="preserve">Tolga Sirlan</t>
  </si>
  <si>
    <t xml:space="preserve">Marilyn Stone</t>
  </si>
  <si>
    <t xml:space="preserve">Sarah Louise Manuel</t>
  </si>
  <si>
    <t xml:space="preserve">Alex Paterson (Alexander John Paterson; commonly known as Alex Paterson)</t>
  </si>
  <si>
    <t xml:space="preserve">Linda Jill Bowen</t>
  </si>
  <si>
    <t xml:space="preserve">Paula Wilhelmina Hamilton</t>
  </si>
  <si>
    <t xml:space="preserve">Stuart Albert Tranter</t>
  </si>
  <si>
    <t xml:space="preserve">Faith Rivers (Faith Ohaeri; also known as Rivers; commonly known as Faith Rivers)</t>
  </si>
  <si>
    <t xml:space="preserve">Tim Joiner (Timothy Martin Joiner; commonly known as Tim Joiner)</t>
  </si>
  <si>
    <t xml:space="preserve">Stuart Samuel Worsley</t>
  </si>
  <si>
    <t xml:space="preserve">Anita Jane Holloway</t>
  </si>
  <si>
    <t xml:space="preserve">David Christopher Graham Hodges</t>
  </si>
  <si>
    <t xml:space="preserve">Habib Odunlamin Sulaiman Tejan</t>
  </si>
  <si>
    <t xml:space="preserve">Caroline Mary Bowes</t>
  </si>
  <si>
    <t xml:space="preserve">John Edward Castle</t>
  </si>
  <si>
    <t xml:space="preserve">Zoe Angela Van Dyke</t>
  </si>
  <si>
    <t xml:space="preserve">Stephen Alan Hubbard</t>
  </si>
  <si>
    <t xml:space="preserve">David Peter Field</t>
  </si>
  <si>
    <t xml:space="preserve">Gareth Wilf Batts</t>
  </si>
  <si>
    <t xml:space="preserve">Craig Thomas Liddell</t>
  </si>
  <si>
    <t xml:space="preserve">Akin Edun (Akinola Obafemi Edun; commonly known as Akin Edun)</t>
  </si>
  <si>
    <t xml:space="preserve">Stephen Andrew James Stephen</t>
  </si>
  <si>
    <t xml:space="preserve">Alexander Charles Clark</t>
  </si>
  <si>
    <t xml:space="preserve">Peter Richard Ede Burch</t>
  </si>
  <si>
    <t xml:space="preserve">Heritage Party</t>
  </si>
  <si>
    <t xml:space="preserve">Robert Elton Wyatt</t>
  </si>
  <si>
    <t xml:space="preserve">Elaine Orford Thomas</t>
  </si>
  <si>
    <t xml:space="preserve">Derek Munton</t>
  </si>
  <si>
    <t xml:space="preserve">John Williams</t>
  </si>
  <si>
    <t xml:space="preserve">Gary David James Etheridge</t>
  </si>
  <si>
    <t xml:space="preserve">Elizabeth Ann Turpin</t>
  </si>
  <si>
    <t xml:space="preserve">Neil James Atkinson</t>
  </si>
  <si>
    <t xml:space="preserve">Joanna Elizabeth Clark</t>
  </si>
  <si>
    <t xml:space="preserve">Andrew Lawrence Millsom</t>
  </si>
  <si>
    <t xml:space="preserve">Alan Edward Wells</t>
  </si>
  <si>
    <t xml:space="preserve">Sharon Leigh Jackson</t>
  </si>
  <si>
    <t xml:space="preserve">Mark William Jones</t>
  </si>
  <si>
    <t xml:space="preserve">Satinder Singh Shokar</t>
  </si>
  <si>
    <t xml:space="preserve">Isaac Igwe (Ikechukwu Igwe; commonly known as Isaac Igwe)</t>
  </si>
  <si>
    <t xml:space="preserve">Josie Iles (Josephine Lesley Iles; commonly known as Josie Iles)</t>
  </si>
  <si>
    <t xml:space="preserve">Chris Buckwell (Christopher Brian Buckwell; commonly known as Chris Buckwell)</t>
  </si>
  <si>
    <t xml:space="preserve">Susan Griffiths</t>
  </si>
  <si>
    <t xml:space="preserve">Michael Dennis Wild</t>
  </si>
  <si>
    <t xml:space="preserve">Rob Heathfield (Robert John Heathfield; commonly known as Rob Heathfield)</t>
  </si>
  <si>
    <t xml:space="preserve">Hazel Louise Browne</t>
  </si>
  <si>
    <t xml:space="preserve">Mark Prenter</t>
  </si>
  <si>
    <t xml:space="preserve">Mitchell Brewer</t>
  </si>
  <si>
    <t xml:space="preserve">Louise Elizabeth Smith</t>
  </si>
  <si>
    <t xml:space="preserve">Kate Belmonte (Catherine Victoria Belmonte; commonly known as Kate Belmonte)</t>
  </si>
  <si>
    <t xml:space="preserve">Maureen Ruparel</t>
  </si>
  <si>
    <t xml:space="preserve">Chrissy Stamp (Christina Melanie Stamp; commonly known as Chrissy Stamp)</t>
  </si>
  <si>
    <t xml:space="preserve">Tracy Coombs</t>
  </si>
  <si>
    <t xml:space="preserve">Marian Angelov Nestorov</t>
  </si>
  <si>
    <t xml:space="preserve">Steven James Marsden</t>
  </si>
  <si>
    <t xml:space="preserve">Tina Louise Venus-Coppard</t>
  </si>
  <si>
    <t xml:space="preserve">Adam Strudwick-Long</t>
  </si>
  <si>
    <t xml:space="preserve">Tina Munro</t>
  </si>
  <si>
    <t xml:space="preserve">David William Yale</t>
  </si>
  <si>
    <t xml:space="preserve">Esther Mary Cook</t>
  </si>
  <si>
    <t xml:space="preserve">Eddie Peake (Edmund Ralph Barralet Peake; commonly known as Eddie Peake)</t>
  </si>
  <si>
    <t xml:space="preserve">Caroline Burns</t>
  </si>
  <si>
    <t xml:space="preserve">Nawal Rai</t>
  </si>
  <si>
    <t xml:space="preserve">Judith Elizabeth Northwood-Boorman</t>
  </si>
  <si>
    <t xml:space="preserve">Herbert John Alfred Crack</t>
  </si>
  <si>
    <t xml:space="preserve">Steve Tanner (Steven Tanner; commonly known as Steve Tanner)</t>
  </si>
  <si>
    <t xml:space="preserve">National polls at time of local election (May 2023)</t>
  </si>
  <si>
    <t xml:space="preserve">National polls March 2026 yougov</t>
  </si>
  <si>
    <t xml:space="preserve">Ratio</t>
  </si>
  <si>
    <t xml:space="preserve">% of vote share</t>
  </si>
  <si>
    <t xml:space="preserve">% of vote shate</t>
  </si>
  <si>
    <t xml:space="preserve">Labour</t>
  </si>
  <si>
    <t xml:space="preserve">Con</t>
  </si>
  <si>
    <t xml:space="preserve">RefUK</t>
  </si>
  <si>
    <t xml:space="preserve">Green</t>
  </si>
  <si>
    <t xml:space="preserve">LibDem</t>
  </si>
  <si>
    <t xml:space="preserve">Others</t>
  </si>
  <si>
    <t xml:space="preserve">*used yougov because they have a history of modelling better youth mobilisation (e.g. predicted corbyn hung parliament)</t>
  </si>
  <si>
    <t xml:space="preserve">Vote transfer since general election</t>
  </si>
  <si>
    <t xml:space="preserve">No vote</t>
  </si>
  <si>
    <t xml:space="preserve">Unsure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</si>
</sst>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_-* #,##0_-;\-* #,##0_-;_-* \-_-;_-@_-"/>
    <numFmt numFmtId="167" formatCode="_-\£* #,##0.00_-;&quot;-£&quot;* #,##0.00_-;_-\£* \-??_-;_-@_-"/>
    <numFmt numFmtId="168" formatCode="_-\£* #,##0_-;&quot;-£&quot;* #,##0_-;_-\£* \-_-;_-@_-"/>
    <numFmt numFmtId="169" formatCode="0%"/>
    <numFmt numFmtId="170" formatCode="0.00%"/>
    <numFmt numFmtId="171" formatCode="#,##0"/>
    <numFmt numFmtId="172" formatCode="0.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name val="Cambria"/>
      <family val="1"/>
      <charset val="1"/>
    </font>
    <font>
      <b val="true"/>
      <sz val="10"/>
      <color theme="0"/>
      <name val="Arial"/>
      <family val="2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/>
        <bgColor rgb="FFA0A0A0"/>
      </patternFill>
    </fill>
    <fill>
      <patternFill patternType="solid">
        <fgColor theme="5"/>
        <bgColor rgb="FF993366"/>
      </patternFill>
    </fill>
    <fill>
      <patternFill patternType="solid">
        <fgColor rgb="FF2F5597"/>
        <bgColor rgb="FF1F497D"/>
      </patternFill>
    </fill>
    <fill>
      <patternFill patternType="solid">
        <fgColor rgb="FFFFF2CC"/>
        <bgColor rgb="FFEEECE1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A0A0A0"/>
      </right>
      <top/>
      <bottom style="thin">
        <color rgb="FFA0A0A0"/>
      </bottom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Percent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2F5597"/>
      <rgbColor rgb="FFA0A0A0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CE1"/>
    <pageSetUpPr fitToPage="false"/>
  </sheetPr>
  <dimension ref="A1:G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7" min="3" style="0" width="13.57"/>
  </cols>
  <sheetData>
    <row r="1" customFormat="false" ht="15" hidden="false" customHeight="true" outlineLevel="0" collapsed="false">
      <c r="A1" s="1" t="s">
        <v>0</v>
      </c>
      <c r="B1" s="1" t="n">
        <v>3495</v>
      </c>
    </row>
    <row r="2" customFormat="false" ht="30" hidden="false" customHeight="true" outlineLevel="0" collapsed="false">
      <c r="A2" s="2" t="s">
        <v>1</v>
      </c>
      <c r="B2" s="3" t="n">
        <v>1</v>
      </c>
      <c r="C2" s="3"/>
    </row>
    <row r="3" customFormat="false" ht="15" hidden="false" customHeight="true" outlineLevel="0" collapsed="false">
      <c r="A3" s="2" t="s">
        <v>2</v>
      </c>
      <c r="B3" s="4" t="n">
        <v>0.2761</v>
      </c>
    </row>
    <row r="4" customFormat="false" ht="15" hidden="false" customHeight="true" outlineLevel="0" collapsed="false">
      <c r="A4" s="2" t="s">
        <v>3</v>
      </c>
      <c r="B4" s="5" t="n">
        <v>5</v>
      </c>
    </row>
    <row r="5" customFormat="false" ht="42.75" hidden="false" customHeight="true" outlineLevel="0" collapsed="false">
      <c r="C5" s="6" t="s">
        <v>4</v>
      </c>
      <c r="D5" s="6"/>
      <c r="E5" s="6"/>
      <c r="F5" s="7" t="s">
        <v>5</v>
      </c>
      <c r="G5" s="7"/>
    </row>
    <row r="6" customFormat="false" ht="15" hidden="false" customHeight="true" outlineLevel="0" collapsed="false">
      <c r="A6" s="8" t="s">
        <v>6</v>
      </c>
      <c r="B6" s="8" t="s">
        <v>7</v>
      </c>
      <c r="C6" s="9" t="s">
        <v>8</v>
      </c>
      <c r="D6" s="9" t="s">
        <v>9</v>
      </c>
      <c r="E6" s="9" t="s">
        <v>10</v>
      </c>
      <c r="F6" s="10" t="s">
        <v>11</v>
      </c>
      <c r="G6" s="10" t="s">
        <v>12</v>
      </c>
    </row>
    <row r="7" customFormat="false" ht="15" hidden="false" customHeight="true" outlineLevel="0" collapsed="false">
      <c r="A7" s="11" t="s">
        <v>13</v>
      </c>
      <c r="B7" s="11" t="s">
        <v>14</v>
      </c>
      <c r="C7" s="12" t="n">
        <v>118</v>
      </c>
      <c r="D7" s="13" t="n">
        <f aca="false">C7*100/SUM($C$7:$C$13)</f>
        <v>12.2916666666667</v>
      </c>
      <c r="E7" s="13" t="n">
        <f aca="false">C7*100/$B$1</f>
        <v>3.37625178826896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46.6511627906977</v>
      </c>
      <c r="G7" s="13" t="n">
        <f aca="false">F7*100/$B$1</f>
        <v>1.33479721861796</v>
      </c>
    </row>
    <row r="8" customFormat="false" ht="27.75" hidden="false" customHeight="true" outlineLevel="0" collapsed="false">
      <c r="A8" s="11" t="s">
        <v>15</v>
      </c>
      <c r="B8" s="11" t="s">
        <v>16</v>
      </c>
      <c r="C8" s="12" t="n">
        <v>190</v>
      </c>
      <c r="D8" s="13" t="n">
        <f aca="false">C8*100/SUM($C$7:$C$13)</f>
        <v>19.7916666666667</v>
      </c>
      <c r="E8" s="13" t="n">
        <f aca="false">C8*100/$B$1</f>
        <v>5.43633762517883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124.230769230769</v>
      </c>
      <c r="G8" s="13" t="n">
        <f aca="false">F8*100/$B$1</f>
        <v>3.55452844723231</v>
      </c>
    </row>
    <row r="9" s="17" customFormat="true" ht="15" hidden="false" customHeight="true" outlineLevel="0" collapsed="false">
      <c r="A9" s="14" t="s">
        <v>17</v>
      </c>
      <c r="B9" s="14" t="s">
        <v>18</v>
      </c>
      <c r="C9" s="15" t="n">
        <v>34</v>
      </c>
      <c r="D9" s="16" t="n">
        <f aca="false">C9*100/SUM($C$7:$C$13)</f>
        <v>3.54166666666667</v>
      </c>
      <c r="E9" s="16" t="n">
        <f aca="false">C9*100/$B$1</f>
        <v>0.972818311874106</v>
      </c>
      <c r="F9" s="15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80.75</v>
      </c>
      <c r="G9" s="16" t="n">
        <f aca="false">F9*100/$B$1</f>
        <v>2.310443490701</v>
      </c>
    </row>
    <row r="10" customFormat="false" ht="15" hidden="false" customHeight="true" outlineLevel="0" collapsed="false">
      <c r="A10" s="11" t="s">
        <v>19</v>
      </c>
      <c r="B10" s="11" t="s">
        <v>20</v>
      </c>
      <c r="C10" s="12" t="n">
        <v>22</v>
      </c>
      <c r="D10" s="13" t="n">
        <f aca="false">C10*100/SUM($C$7:$C$13)</f>
        <v>2.29166666666667</v>
      </c>
      <c r="E10" s="13" t="n">
        <f aca="false">C10*100/$B$1</f>
        <v>0.629470672389127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30.8</v>
      </c>
      <c r="G10" s="13" t="n">
        <f aca="false">F10*100/$B$1</f>
        <v>0.881258941344778</v>
      </c>
    </row>
    <row r="11" customFormat="false" ht="27.75" hidden="false" customHeight="true" outlineLevel="0" collapsed="false">
      <c r="A11" s="11" t="s">
        <v>21</v>
      </c>
      <c r="B11" s="11" t="s">
        <v>22</v>
      </c>
      <c r="C11" s="12" t="n">
        <v>49</v>
      </c>
      <c r="D11" s="13" t="n">
        <f aca="false">C11*100/SUM($C$7:$C$13)</f>
        <v>5.10416666666667</v>
      </c>
      <c r="E11" s="13" t="n">
        <f aca="false">C11*100/$B$1</f>
        <v>1.40200286123033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204.166666666667</v>
      </c>
      <c r="G11" s="13" t="n">
        <f aca="false">F11*100/$B$1</f>
        <v>5.84167858845971</v>
      </c>
    </row>
    <row r="12" customFormat="false" ht="27.75" hidden="false" customHeight="true" outlineLevel="0" collapsed="false">
      <c r="A12" s="18" t="s">
        <v>23</v>
      </c>
      <c r="B12" s="18" t="s">
        <v>24</v>
      </c>
      <c r="C12" s="19" t="n">
        <v>295</v>
      </c>
      <c r="D12" s="20" t="n">
        <f aca="false">C12*100/SUM($C$7:$C$13)</f>
        <v>30.7291666666667</v>
      </c>
      <c r="E12" s="20" t="n">
        <f aca="false">C12*100/$B$1</f>
        <v>8.44062947067239</v>
      </c>
      <c r="F12" s="19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337.142857142857</v>
      </c>
      <c r="G12" s="20" t="n">
        <f aca="false">F12*100/$B$1</f>
        <v>9.64643368076844</v>
      </c>
    </row>
    <row r="13" customFormat="false" ht="15" hidden="false" customHeight="true" outlineLevel="0" collapsed="false">
      <c r="A13" s="11" t="s">
        <v>25</v>
      </c>
      <c r="B13" s="11" t="s">
        <v>24</v>
      </c>
      <c r="C13" s="12" t="n">
        <v>252</v>
      </c>
      <c r="D13" s="13" t="n">
        <f aca="false">C13*100/SUM($C$7:$C$13)</f>
        <v>26.25</v>
      </c>
      <c r="E13" s="13" t="n">
        <f aca="false">C13*100/$B$1</f>
        <v>7.21030042918455</v>
      </c>
      <c r="F13" s="12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288</v>
      </c>
      <c r="G13" s="13" t="n">
        <f aca="false">F13*100/$B$1</f>
        <v>8.24034334763949</v>
      </c>
    </row>
  </sheetData>
  <mergeCells count="3">
    <mergeCell ref="B2:C2"/>
    <mergeCell ref="C5:E5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7" min="3" style="0" width="16.29"/>
  </cols>
  <sheetData>
    <row r="1" customFormat="false" ht="15" hidden="false" customHeight="true" outlineLevel="0" collapsed="false">
      <c r="A1" s="1" t="s">
        <v>0</v>
      </c>
      <c r="B1" s="1" t="n">
        <v>10525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0.2091</v>
      </c>
    </row>
    <row r="4" customFormat="false" ht="15" hidden="false" customHeight="true" outlineLevel="0" collapsed="false">
      <c r="A4" s="2" t="s">
        <v>3</v>
      </c>
      <c r="B4" s="5" t="n">
        <v>21</v>
      </c>
    </row>
    <row r="5" customFormat="false" ht="43.5" hidden="false" customHeight="true" outlineLevel="0" collapsed="false">
      <c r="C5" s="6" t="s">
        <v>4</v>
      </c>
      <c r="D5" s="6"/>
      <c r="E5" s="6"/>
      <c r="F5" s="7" t="s">
        <v>5</v>
      </c>
      <c r="G5" s="7"/>
    </row>
    <row r="6" customFormat="false" ht="15" hidden="false" customHeight="true" outlineLevel="0" collapsed="false">
      <c r="A6" s="8" t="s">
        <v>6</v>
      </c>
      <c r="B6" s="8" t="s">
        <v>7</v>
      </c>
      <c r="C6" s="9" t="s">
        <v>8</v>
      </c>
      <c r="D6" s="9" t="s">
        <v>9</v>
      </c>
      <c r="E6" s="9" t="s">
        <v>10</v>
      </c>
      <c r="F6" s="10" t="s">
        <v>11</v>
      </c>
      <c r="G6" s="10" t="s">
        <v>12</v>
      </c>
    </row>
    <row r="7" customFormat="false" ht="27.75" hidden="false" customHeight="true" outlineLevel="0" collapsed="false">
      <c r="A7" s="18" t="s">
        <v>26</v>
      </c>
      <c r="B7" s="18" t="s">
        <v>27</v>
      </c>
      <c r="C7" s="19" t="n">
        <v>1394</v>
      </c>
      <c r="D7" s="20" t="n">
        <f aca="false">C7*100/SUM($C$7:$C$14)</f>
        <v>23.595125253893</v>
      </c>
      <c r="E7" s="20" t="n">
        <f aca="false">C7*100/$B$1</f>
        <v>13.2446555819477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551.116279069767</v>
      </c>
      <c r="G7" s="13" t="n">
        <f aca="false">F7*100/$B$1</f>
        <v>5.23625918356074</v>
      </c>
    </row>
    <row r="8" customFormat="false" ht="15" hidden="false" customHeight="true" outlineLevel="0" collapsed="false">
      <c r="A8" s="18" t="s">
        <v>28</v>
      </c>
      <c r="B8" s="18" t="s">
        <v>27</v>
      </c>
      <c r="C8" s="19" t="n">
        <v>1211</v>
      </c>
      <c r="D8" s="20" t="n">
        <f aca="false">C8*100/SUM($C$7:$C$14)</f>
        <v>20.4976303317536</v>
      </c>
      <c r="E8" s="20" t="n">
        <f aca="false">C8*100/$B$1</f>
        <v>11.5059382422803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478.767441860465</v>
      </c>
      <c r="G8" s="13" t="n">
        <f aca="false">F8*100/$B$1</f>
        <v>4.54885930508755</v>
      </c>
    </row>
    <row r="9" customFormat="false" ht="27.75" hidden="false" customHeight="true" outlineLevel="0" collapsed="false">
      <c r="A9" s="18" t="s">
        <v>29</v>
      </c>
      <c r="B9" s="18" t="s">
        <v>27</v>
      </c>
      <c r="C9" s="19" t="n">
        <v>1136</v>
      </c>
      <c r="D9" s="20" t="n">
        <f aca="false">C9*100/SUM($C$7:$C$14)</f>
        <v>19.2281651997292</v>
      </c>
      <c r="E9" s="20" t="n">
        <f aca="false">C9*100/$B$1</f>
        <v>10.7933491686461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449.116279069767</v>
      </c>
      <c r="G9" s="13" t="n">
        <f aca="false">F9*100/$B$1</f>
        <v>4.26713804341822</v>
      </c>
    </row>
    <row r="10" customFormat="false" ht="27.75" hidden="false" customHeight="true" outlineLevel="0" collapsed="false">
      <c r="A10" s="11" t="s">
        <v>30</v>
      </c>
      <c r="B10" s="11" t="s">
        <v>16</v>
      </c>
      <c r="C10" s="12" t="n">
        <v>552</v>
      </c>
      <c r="D10" s="13" t="n">
        <f aca="false">C10*100/SUM($C$7:$C$14)</f>
        <v>9.34326337169939</v>
      </c>
      <c r="E10" s="13" t="n">
        <f aca="false">C10*100/$B$1</f>
        <v>5.24465558194774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360.923076923077</v>
      </c>
      <c r="G10" s="13" t="n">
        <f aca="false">F10*100/$B$1</f>
        <v>3.42919788050429</v>
      </c>
    </row>
    <row r="11" customFormat="false" ht="15" hidden="false" customHeight="true" outlineLevel="0" collapsed="false">
      <c r="A11" s="11" t="s">
        <v>31</v>
      </c>
      <c r="B11" s="11" t="s">
        <v>16</v>
      </c>
      <c r="C11" s="12" t="n">
        <v>517</v>
      </c>
      <c r="D11" s="13" t="n">
        <f aca="false">C11*100/SUM($C$7:$C$14)</f>
        <v>8.75084631008802</v>
      </c>
      <c r="E11" s="13" t="n">
        <f aca="false">C11*100/$B$1</f>
        <v>4.91211401425178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338.038461538462</v>
      </c>
      <c r="G11" s="13" t="n">
        <f aca="false">F11*100/$B$1</f>
        <v>3.21176685547232</v>
      </c>
    </row>
    <row r="12" customFormat="false" ht="15" hidden="false" customHeight="true" outlineLevel="0" collapsed="false">
      <c r="A12" s="11" t="s">
        <v>32</v>
      </c>
      <c r="B12" s="11" t="s">
        <v>16</v>
      </c>
      <c r="C12" s="12" t="n">
        <v>467</v>
      </c>
      <c r="D12" s="13" t="n">
        <f aca="false">C12*100/SUM($C$7:$C$14)</f>
        <v>7.90453622207177</v>
      </c>
      <c r="E12" s="13" t="n">
        <f aca="false">C12*100/$B$1</f>
        <v>4.43705463182898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305.346153846154</v>
      </c>
      <c r="G12" s="13" t="n">
        <f aca="false">F12*100/$B$1</f>
        <v>2.90115110542664</v>
      </c>
    </row>
    <row r="13" s="17" customFormat="true" ht="27.75" hidden="false" customHeight="true" outlineLevel="0" collapsed="false">
      <c r="A13" s="14" t="s">
        <v>33</v>
      </c>
      <c r="B13" s="14" t="s">
        <v>18</v>
      </c>
      <c r="C13" s="15" t="n">
        <v>336</v>
      </c>
      <c r="D13" s="16" t="n">
        <f aca="false">C13*100/SUM($C$7:$C$14)</f>
        <v>5.68720379146919</v>
      </c>
      <c r="E13" s="16" t="n">
        <f aca="false">C13*100/$B$1</f>
        <v>3.19239904988124</v>
      </c>
      <c r="F13" s="21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798</v>
      </c>
      <c r="G13" s="22" t="n">
        <f aca="false">F13*100/$B$1</f>
        <v>7.58194774346793</v>
      </c>
    </row>
    <row r="14" customFormat="false" ht="15" hidden="false" customHeight="true" outlineLevel="0" collapsed="false">
      <c r="A14" s="11" t="s">
        <v>34</v>
      </c>
      <c r="B14" s="11" t="s">
        <v>20</v>
      </c>
      <c r="C14" s="12" t="n">
        <v>295</v>
      </c>
      <c r="D14" s="13" t="n">
        <f aca="false">C14*100/SUM($C$7:$C$14)</f>
        <v>4.99322951929587</v>
      </c>
      <c r="E14" s="13" t="n">
        <f aca="false">C14*100/$B$1</f>
        <v>2.80285035629454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413</v>
      </c>
      <c r="G14" s="13" t="n">
        <f aca="false">F14*100/$B$1</f>
        <v>3.92399049881235</v>
      </c>
    </row>
  </sheetData>
  <mergeCells count="3">
    <mergeCell ref="B2:C2"/>
    <mergeCell ref="C5:E5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6129</v>
      </c>
    </row>
    <row r="2" customFormat="false" ht="30" hidden="false" customHeight="true" outlineLevel="0" collapsed="false">
      <c r="A2" s="2" t="s">
        <v>1</v>
      </c>
      <c r="B2" s="3" t="n">
        <v>2</v>
      </c>
      <c r="C2" s="3"/>
    </row>
    <row r="3" customFormat="false" ht="15" hidden="false" customHeight="true" outlineLevel="0" collapsed="false">
      <c r="A3" s="2" t="s">
        <v>2</v>
      </c>
      <c r="B3" s="4" t="n">
        <v>0.3092</v>
      </c>
    </row>
    <row r="4" customFormat="false" ht="15" hidden="false" customHeight="true" outlineLevel="0" collapsed="false">
      <c r="A4" s="2" t="s">
        <v>3</v>
      </c>
      <c r="B4" s="5" t="n">
        <v>16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1" t="s">
        <v>36</v>
      </c>
      <c r="B7" s="11" t="s">
        <v>14</v>
      </c>
      <c r="C7" s="12" t="n">
        <v>414</v>
      </c>
      <c r="D7" s="13" t="n">
        <f aca="false">C7*100/SUM($C$7:$C$13)</f>
        <v>11.4808652246256</v>
      </c>
      <c r="E7" s="13" t="n">
        <f aca="false">C7*100/$B$1</f>
        <v>6.75477239353891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163.674418604651</v>
      </c>
      <c r="G7" s="13" t="n">
        <f aca="false">F7*100/$B$1</f>
        <v>2.67049141139911</v>
      </c>
    </row>
    <row r="8" customFormat="false" ht="15" hidden="false" customHeight="true" outlineLevel="0" collapsed="false">
      <c r="A8" s="11" t="s">
        <v>37</v>
      </c>
      <c r="B8" s="11" t="s">
        <v>14</v>
      </c>
      <c r="C8" s="12" t="n">
        <v>408</v>
      </c>
      <c r="D8" s="13" t="n">
        <f aca="false">C8*100/SUM($C$7:$C$13)</f>
        <v>11.3144758735441</v>
      </c>
      <c r="E8" s="13" t="n">
        <f aca="false">C8*100/$B$1</f>
        <v>6.65687714145864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161.302325581395</v>
      </c>
      <c r="G8" s="13" t="n">
        <f aca="false">F8*100/$B$1</f>
        <v>2.63178863732086</v>
      </c>
    </row>
    <row r="9" customFormat="false" ht="27.75" hidden="false" customHeight="true" outlineLevel="0" collapsed="false">
      <c r="A9" s="18" t="s">
        <v>38</v>
      </c>
      <c r="B9" s="18" t="s">
        <v>16</v>
      </c>
      <c r="C9" s="19" t="n">
        <v>880</v>
      </c>
      <c r="D9" s="20" t="n">
        <f aca="false">C9*100/SUM($C$7:$C$13)</f>
        <v>24.4037714919578</v>
      </c>
      <c r="E9" s="20" t="n">
        <f aca="false">C9*100/$B$1</f>
        <v>14.3579703051069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575.384615384615</v>
      </c>
      <c r="G9" s="13" t="n">
        <f aca="false">F9*100/$B$1</f>
        <v>9.38790366103141</v>
      </c>
    </row>
    <row r="10" customFormat="false" ht="27.75" hidden="false" customHeight="true" outlineLevel="0" collapsed="false">
      <c r="A10" s="18" t="s">
        <v>39</v>
      </c>
      <c r="B10" s="18" t="s">
        <v>16</v>
      </c>
      <c r="C10" s="19" t="n">
        <v>685</v>
      </c>
      <c r="D10" s="20" t="n">
        <f aca="false">C10*100/SUM($C$7:$C$13)</f>
        <v>18.9961175818081</v>
      </c>
      <c r="E10" s="20" t="n">
        <f aca="false">C10*100/$B$1</f>
        <v>11.176374612498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447.884615384615</v>
      </c>
      <c r="G10" s="13" t="n">
        <f aca="false">F10*100/$B$1</f>
        <v>7.30762955432559</v>
      </c>
    </row>
    <row r="11" s="17" customFormat="true" ht="27.75" hidden="false" customHeight="true" outlineLevel="0" collapsed="false">
      <c r="A11" s="14" t="s">
        <v>40</v>
      </c>
      <c r="B11" s="14" t="s">
        <v>18</v>
      </c>
      <c r="C11" s="15" t="n">
        <v>641</v>
      </c>
      <c r="D11" s="16" t="n">
        <f aca="false">C11*100/SUM($C$7:$C$13)</f>
        <v>17.7759290072102</v>
      </c>
      <c r="E11" s="16" t="n">
        <f aca="false">C11*100/$B$1</f>
        <v>10.4584760972426</v>
      </c>
      <c r="F11" s="21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1522.375</v>
      </c>
      <c r="G11" s="22" t="n">
        <f aca="false">F11*100/$B$1</f>
        <v>24.8388807309512</v>
      </c>
    </row>
    <row r="12" s="17" customFormat="true" ht="27.75" hidden="false" customHeight="true" outlineLevel="0" collapsed="false">
      <c r="A12" s="14" t="s">
        <v>41</v>
      </c>
      <c r="B12" s="14" t="s">
        <v>18</v>
      </c>
      <c r="C12" s="15" t="n">
        <v>502</v>
      </c>
      <c r="D12" s="16" t="n">
        <f aca="false">C12*100/SUM($C$7:$C$13)</f>
        <v>13.9212423738214</v>
      </c>
      <c r="E12" s="16" t="n">
        <f aca="false">C12*100/$B$1</f>
        <v>8.1905694240496</v>
      </c>
      <c r="F12" s="21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1192.25</v>
      </c>
      <c r="G12" s="22" t="n">
        <f aca="false">F12*100/$B$1</f>
        <v>19.4526023821178</v>
      </c>
    </row>
    <row r="13" customFormat="false" ht="27.75" hidden="false" customHeight="true" outlineLevel="0" collapsed="false">
      <c r="A13" s="11" t="s">
        <v>42</v>
      </c>
      <c r="B13" s="11" t="s">
        <v>20</v>
      </c>
      <c r="C13" s="12" t="n">
        <v>76</v>
      </c>
      <c r="D13" s="13" t="n">
        <f aca="false">C13*100/SUM($C$7:$C$13)</f>
        <v>2.10759844703272</v>
      </c>
      <c r="E13" s="13" t="n">
        <f aca="false">C13*100/$B$1</f>
        <v>1.24000652635014</v>
      </c>
      <c r="F13" s="12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106.4</v>
      </c>
      <c r="G13" s="13" t="n">
        <f aca="false">F13*100/$B$1</f>
        <v>1.73600913689019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3530</v>
      </c>
    </row>
    <row r="2" customFormat="false" ht="30" hidden="false" customHeight="true" outlineLevel="0" collapsed="false">
      <c r="A2" s="2" t="s">
        <v>1</v>
      </c>
      <c r="B2" s="3" t="n">
        <v>1</v>
      </c>
      <c r="C2" s="3"/>
    </row>
    <row r="3" customFormat="false" ht="15" hidden="false" customHeight="true" outlineLevel="0" collapsed="false">
      <c r="A3" s="2" t="s">
        <v>2</v>
      </c>
      <c r="B3" s="4" t="n">
        <v>0.3088</v>
      </c>
    </row>
    <row r="4" customFormat="false" ht="15" hidden="false" customHeight="true" outlineLevel="0" collapsed="false">
      <c r="A4" s="2" t="s">
        <v>3</v>
      </c>
      <c r="B4" s="5" t="n">
        <v>8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1" t="s">
        <v>43</v>
      </c>
      <c r="B7" s="11" t="s">
        <v>14</v>
      </c>
      <c r="C7" s="12" t="n">
        <v>212</v>
      </c>
      <c r="D7" s="13" t="n">
        <f aca="false">C7*100/SUM($C$7:$C$10)</f>
        <v>19.5933456561922</v>
      </c>
      <c r="E7" s="13" t="n">
        <f aca="false">C7*100/$B$1</f>
        <v>6.0056657223796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83.8139534883721</v>
      </c>
      <c r="G7" s="13" t="n">
        <f aca="false">F7*100/$B$1</f>
        <v>2.37433296001054</v>
      </c>
    </row>
    <row r="8" customFormat="false" ht="15" hidden="false" customHeight="true" outlineLevel="0" collapsed="false">
      <c r="A8" s="18" t="s">
        <v>44</v>
      </c>
      <c r="B8" s="18" t="s">
        <v>16</v>
      </c>
      <c r="C8" s="19" t="n">
        <v>489</v>
      </c>
      <c r="D8" s="20" t="n">
        <f aca="false">C8*100/SUM($C$7:$C$10)</f>
        <v>45.1940850277264</v>
      </c>
      <c r="E8" s="20" t="n">
        <f aca="false">C8*100/$B$1</f>
        <v>13.8526912181303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319.730769230769</v>
      </c>
      <c r="G8" s="13" t="n">
        <f aca="false">F8*100/$B$1</f>
        <v>9.0575288733929</v>
      </c>
    </row>
    <row r="9" s="17" customFormat="true" ht="15" hidden="false" customHeight="true" outlineLevel="0" collapsed="false">
      <c r="A9" s="14" t="s">
        <v>45</v>
      </c>
      <c r="B9" s="14" t="s">
        <v>18</v>
      </c>
      <c r="C9" s="15" t="n">
        <v>37</v>
      </c>
      <c r="D9" s="16" t="n">
        <f aca="false">C9*100/SUM($C$7:$C$10)</f>
        <v>3.41959334565619</v>
      </c>
      <c r="E9" s="16" t="n">
        <f aca="false">C9*100/$B$1</f>
        <v>1.04815864022663</v>
      </c>
      <c r="F9" s="15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87.875</v>
      </c>
      <c r="G9" s="16" t="n">
        <f aca="false">F9*100/$B$1</f>
        <v>2.48937677053824</v>
      </c>
    </row>
    <row r="10" customFormat="false" ht="15" hidden="false" customHeight="true" outlineLevel="0" collapsed="false">
      <c r="A10" s="11" t="s">
        <v>46</v>
      </c>
      <c r="B10" s="11" t="s">
        <v>20</v>
      </c>
      <c r="C10" s="12" t="n">
        <v>344</v>
      </c>
      <c r="D10" s="13" t="n">
        <f aca="false">C10*100/SUM($C$7:$C$10)</f>
        <v>31.7929759704251</v>
      </c>
      <c r="E10" s="13" t="n">
        <f aca="false">C10*100/$B$1</f>
        <v>9.74504249291785</v>
      </c>
      <c r="F10" s="19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481.6</v>
      </c>
      <c r="G10" s="20" t="n">
        <f aca="false">F10*100/$B$1</f>
        <v>13.643059490085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9170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0.3374</v>
      </c>
    </row>
    <row r="4" customFormat="false" ht="15" hidden="false" customHeight="true" outlineLevel="0" collapsed="false">
      <c r="A4" s="2" t="s">
        <v>3</v>
      </c>
      <c r="B4" s="5" t="n">
        <v>21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8" t="s">
        <v>47</v>
      </c>
      <c r="B7" s="18" t="s">
        <v>27</v>
      </c>
      <c r="C7" s="19" t="n">
        <v>1726</v>
      </c>
      <c r="D7" s="20" t="n">
        <f aca="false">C7*100/SUM($C$7:$C$14)</f>
        <v>20.0861166065402</v>
      </c>
      <c r="E7" s="20" t="n">
        <f aca="false">C7*100/$B$1</f>
        <v>18.8222464558342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682.372093023256</v>
      </c>
      <c r="G7" s="13" t="n">
        <f aca="false">F7*100/$B$1</f>
        <v>7.44135324998098</v>
      </c>
    </row>
    <row r="8" customFormat="false" ht="15" hidden="false" customHeight="true" outlineLevel="0" collapsed="false">
      <c r="A8" s="18" t="s">
        <v>48</v>
      </c>
      <c r="B8" s="18" t="s">
        <v>27</v>
      </c>
      <c r="C8" s="19" t="n">
        <v>1634</v>
      </c>
      <c r="D8" s="20" t="n">
        <f aca="false">C8*100/SUM($C$7:$C$14)</f>
        <v>19.0154777144187</v>
      </c>
      <c r="E8" s="20" t="n">
        <f aca="false">C8*100/$B$1</f>
        <v>17.8189749182116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646</v>
      </c>
      <c r="G8" s="13" t="n">
        <f aca="false">F8*100/$B$1</f>
        <v>7.04471101417666</v>
      </c>
    </row>
    <row r="9" customFormat="false" ht="15" hidden="false" customHeight="true" outlineLevel="0" collapsed="false">
      <c r="A9" s="18" t="s">
        <v>49</v>
      </c>
      <c r="B9" s="18" t="s">
        <v>27</v>
      </c>
      <c r="C9" s="19" t="n">
        <v>1577</v>
      </c>
      <c r="D9" s="20" t="n">
        <f aca="false">C9*100/SUM($C$7:$C$14)</f>
        <v>18.3521470964739</v>
      </c>
      <c r="E9" s="20" t="n">
        <f aca="false">C9*100/$B$1</f>
        <v>17.1973827699019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623.46511627907</v>
      </c>
      <c r="G9" s="13" t="n">
        <f aca="false">F9*100/$B$1</f>
        <v>6.79896528112399</v>
      </c>
    </row>
    <row r="10" customFormat="false" ht="15" hidden="false" customHeight="true" outlineLevel="0" collapsed="false">
      <c r="A10" s="11" t="s">
        <v>50</v>
      </c>
      <c r="B10" s="11" t="s">
        <v>16</v>
      </c>
      <c r="C10" s="12" t="n">
        <v>1028</v>
      </c>
      <c r="D10" s="13" t="n">
        <f aca="false">C10*100/SUM($C$7:$C$14)</f>
        <v>11.9632258815315</v>
      </c>
      <c r="E10" s="13" t="n">
        <f aca="false">C10*100/$B$1</f>
        <v>11.2104689203926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672.153846153846</v>
      </c>
      <c r="G10" s="13" t="n">
        <f aca="false">F10*100/$B$1</f>
        <v>7.32992198641054</v>
      </c>
    </row>
    <row r="11" customFormat="false" ht="15" hidden="false" customHeight="true" outlineLevel="0" collapsed="false">
      <c r="A11" s="11" t="s">
        <v>51</v>
      </c>
      <c r="B11" s="11" t="s">
        <v>16</v>
      </c>
      <c r="C11" s="12" t="n">
        <v>951</v>
      </c>
      <c r="D11" s="13" t="n">
        <f aca="false">C11*100/SUM($C$7:$C$14)</f>
        <v>11.0671476783428</v>
      </c>
      <c r="E11" s="13" t="n">
        <f aca="false">C11*100/$B$1</f>
        <v>10.370774263904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621.807692307692</v>
      </c>
      <c r="G11" s="13" t="n">
        <f aca="false">F11*100/$B$1</f>
        <v>6.78089086486033</v>
      </c>
    </row>
    <row r="12" customFormat="false" ht="15" hidden="false" customHeight="true" outlineLevel="0" collapsed="false">
      <c r="A12" s="11" t="s">
        <v>52</v>
      </c>
      <c r="B12" s="11" t="s">
        <v>16</v>
      </c>
      <c r="C12" s="12" t="n">
        <v>901</v>
      </c>
      <c r="D12" s="13" t="n">
        <f aca="false">C12*100/SUM($C$7:$C$14)</f>
        <v>10.4852787152333</v>
      </c>
      <c r="E12" s="13" t="n">
        <f aca="false">C12*100/$B$1</f>
        <v>9.82551799345693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589.115384615385</v>
      </c>
      <c r="G12" s="13" t="n">
        <f aca="false">F12*100/$B$1</f>
        <v>6.42437714956799</v>
      </c>
    </row>
    <row r="13" s="17" customFormat="true" ht="15" hidden="false" customHeight="true" outlineLevel="0" collapsed="false">
      <c r="A13" s="14" t="s">
        <v>53</v>
      </c>
      <c r="B13" s="14" t="s">
        <v>18</v>
      </c>
      <c r="C13" s="15" t="n">
        <v>527</v>
      </c>
      <c r="D13" s="16" t="n">
        <f aca="false">C13*100/SUM($C$7:$C$14)</f>
        <v>6.13289887117421</v>
      </c>
      <c r="E13" s="16" t="n">
        <f aca="false">C13*100/$B$1</f>
        <v>5.74700109051254</v>
      </c>
      <c r="F13" s="21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1251.625</v>
      </c>
      <c r="G13" s="22" t="n">
        <f aca="false">F13*100/$B$1</f>
        <v>13.6491275899673</v>
      </c>
    </row>
    <row r="14" customFormat="false" ht="15" hidden="false" customHeight="true" outlineLevel="0" collapsed="false">
      <c r="A14" s="11" t="s">
        <v>54</v>
      </c>
      <c r="B14" s="11" t="s">
        <v>20</v>
      </c>
      <c r="C14" s="12" t="n">
        <v>249</v>
      </c>
      <c r="D14" s="13" t="n">
        <f aca="false">C14*100/SUM($C$7:$C$14)</f>
        <v>2.89770743628535</v>
      </c>
      <c r="E14" s="13" t="n">
        <f aca="false">C14*100/$B$1</f>
        <v>2.71537622682661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348.6</v>
      </c>
      <c r="G14" s="13" t="n">
        <f aca="false">F14*100/$B$1</f>
        <v>3.80152671755725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10237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0.2175</v>
      </c>
    </row>
    <row r="4" customFormat="false" ht="15" hidden="false" customHeight="true" outlineLevel="0" collapsed="false">
      <c r="A4" s="2" t="s">
        <v>3</v>
      </c>
      <c r="B4" s="5" t="n">
        <v>27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8" t="s">
        <v>55</v>
      </c>
      <c r="B7" s="18" t="s">
        <v>27</v>
      </c>
      <c r="C7" s="19" t="n">
        <v>1419</v>
      </c>
      <c r="D7" s="20" t="n">
        <f aca="false">C7*100/SUM($C$7:$C$14)</f>
        <v>23.3158067696352</v>
      </c>
      <c r="E7" s="20" t="n">
        <f aca="false">C7*100/$B$1</f>
        <v>13.8614828563056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561</v>
      </c>
      <c r="G7" s="13" t="n">
        <f aca="false">F7*100/$B$1</f>
        <v>5.48012112923708</v>
      </c>
    </row>
    <row r="8" customFormat="false" ht="15" hidden="false" customHeight="true" outlineLevel="0" collapsed="false">
      <c r="A8" s="18" t="s">
        <v>56</v>
      </c>
      <c r="B8" s="18" t="s">
        <v>27</v>
      </c>
      <c r="C8" s="19" t="n">
        <v>1355</v>
      </c>
      <c r="D8" s="20" t="n">
        <f aca="false">C8*100/SUM($C$7:$C$14)</f>
        <v>22.2642129477489</v>
      </c>
      <c r="E8" s="20" t="n">
        <f aca="false">C8*100/$B$1</f>
        <v>13.2362996971769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535.697674418605</v>
      </c>
      <c r="G8" s="13" t="n">
        <f aca="false">F8*100/$B$1</f>
        <v>5.23295569423273</v>
      </c>
    </row>
    <row r="9" customFormat="false" ht="15" hidden="false" customHeight="true" outlineLevel="0" collapsed="false">
      <c r="A9" s="18" t="s">
        <v>57</v>
      </c>
      <c r="B9" s="18" t="s">
        <v>27</v>
      </c>
      <c r="C9" s="19" t="n">
        <v>1339</v>
      </c>
      <c r="D9" s="20" t="n">
        <f aca="false">C9*100/SUM($C$7:$C$14)</f>
        <v>22.0013144922774</v>
      </c>
      <c r="E9" s="20" t="n">
        <f aca="false">C9*100/$B$1</f>
        <v>13.0800039073947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529.372093023256</v>
      </c>
      <c r="G9" s="13" t="n">
        <f aca="false">F9*100/$B$1</f>
        <v>5.17116433548164</v>
      </c>
    </row>
    <row r="10" customFormat="false" ht="15" hidden="false" customHeight="true" outlineLevel="0" collapsed="false">
      <c r="A10" s="11" t="s">
        <v>58</v>
      </c>
      <c r="B10" s="11" t="s">
        <v>59</v>
      </c>
      <c r="C10" s="12" t="n">
        <v>530</v>
      </c>
      <c r="D10" s="13" t="n">
        <f aca="false">C10*100/SUM($C$7:$C$14)</f>
        <v>8.70851133749589</v>
      </c>
      <c r="E10" s="13" t="n">
        <f aca="false">C10*100/$B$1</f>
        <v>5.17729803653414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346.538461538462</v>
      </c>
      <c r="G10" s="13" t="n">
        <f aca="false">F10*100/$B$1</f>
        <v>3.38515640850309</v>
      </c>
    </row>
    <row r="11" customFormat="false" ht="15" hidden="false" customHeight="true" outlineLevel="0" collapsed="false">
      <c r="A11" s="11" t="s">
        <v>60</v>
      </c>
      <c r="B11" s="11" t="s">
        <v>59</v>
      </c>
      <c r="C11" s="12" t="n">
        <v>439</v>
      </c>
      <c r="D11" s="13" t="n">
        <f aca="false">C11*100/SUM($C$7:$C$14)</f>
        <v>7.21327637200132</v>
      </c>
      <c r="E11" s="13" t="n">
        <f aca="false">C11*100/$B$1</f>
        <v>4.28836573214809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287.038461538462</v>
      </c>
      <c r="G11" s="13" t="n">
        <f aca="false">F11*100/$B$1</f>
        <v>2.80393144025067</v>
      </c>
    </row>
    <row r="12" customFormat="false" ht="15" hidden="false" customHeight="true" outlineLevel="0" collapsed="false">
      <c r="A12" s="11" t="s">
        <v>61</v>
      </c>
      <c r="B12" s="11" t="s">
        <v>59</v>
      </c>
      <c r="C12" s="12" t="n">
        <v>410</v>
      </c>
      <c r="D12" s="13" t="n">
        <f aca="false">C12*100/SUM($C$7:$C$14)</f>
        <v>6.73677292145909</v>
      </c>
      <c r="E12" s="13" t="n">
        <f aca="false">C12*100/$B$1</f>
        <v>4.00507961316792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268.076923076923</v>
      </c>
      <c r="G12" s="13" t="n">
        <f aca="false">F12*100/$B$1</f>
        <v>2.61870590091749</v>
      </c>
    </row>
    <row r="13" s="17" customFormat="true" ht="15" hidden="false" customHeight="true" outlineLevel="0" collapsed="false">
      <c r="A13" s="14" t="s">
        <v>62</v>
      </c>
      <c r="B13" s="14" t="s">
        <v>18</v>
      </c>
      <c r="C13" s="15" t="n">
        <v>340</v>
      </c>
      <c r="D13" s="16" t="n">
        <f aca="false">C13*100/SUM($C$7:$C$14)</f>
        <v>5.58659217877095</v>
      </c>
      <c r="E13" s="16" t="n">
        <f aca="false">C13*100/$B$1</f>
        <v>3.32128553287096</v>
      </c>
      <c r="F13" s="21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807.5</v>
      </c>
      <c r="G13" s="22" t="n">
        <f aca="false">F13*100/$B$1</f>
        <v>7.88805314056853</v>
      </c>
    </row>
    <row r="14" customFormat="false" ht="15" hidden="false" customHeight="true" outlineLevel="0" collapsed="false">
      <c r="A14" s="11" t="s">
        <v>63</v>
      </c>
      <c r="B14" s="11" t="s">
        <v>20</v>
      </c>
      <c r="C14" s="12" t="n">
        <v>254</v>
      </c>
      <c r="D14" s="13" t="n">
        <f aca="false">C14*100/SUM($C$7:$C$14)</f>
        <v>4.17351298061124</v>
      </c>
      <c r="E14" s="13" t="n">
        <f aca="false">C14*100/$B$1</f>
        <v>2.48119566279183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355.6</v>
      </c>
      <c r="G14" s="13" t="n">
        <f aca="false">F14*100/$B$1</f>
        <v>3.47367392790857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11085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0.2235</v>
      </c>
    </row>
    <row r="4" customFormat="false" ht="15" hidden="false" customHeight="true" outlineLevel="0" collapsed="false">
      <c r="A4" s="2" t="s">
        <v>3</v>
      </c>
      <c r="B4" s="5" t="n">
        <v>63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27.75" hidden="false" customHeight="true" outlineLevel="0" collapsed="false">
      <c r="A7" s="18" t="s">
        <v>64</v>
      </c>
      <c r="B7" s="18" t="s">
        <v>27</v>
      </c>
      <c r="C7" s="19" t="n">
        <v>1617</v>
      </c>
      <c r="D7" s="20" t="n">
        <f aca="false">C7*100/SUM($C$7:$C$14)</f>
        <v>24.181247196052</v>
      </c>
      <c r="E7" s="20" t="n">
        <f aca="false">C7*100/$B$1</f>
        <v>14.5872801082544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639.279069767442</v>
      </c>
      <c r="G7" s="13" t="n">
        <f aca="false">F7*100/$B$1</f>
        <v>5.76706422884476</v>
      </c>
    </row>
    <row r="8" customFormat="false" ht="15" hidden="false" customHeight="true" outlineLevel="0" collapsed="false">
      <c r="A8" s="18" t="s">
        <v>65</v>
      </c>
      <c r="B8" s="18" t="s">
        <v>27</v>
      </c>
      <c r="C8" s="19" t="n">
        <v>1531</v>
      </c>
      <c r="D8" s="20" t="n">
        <f aca="false">C8*100/SUM($C$7:$C$14)</f>
        <v>22.8951697323164</v>
      </c>
      <c r="E8" s="20" t="n">
        <f aca="false">C8*100/$B$1</f>
        <v>13.8114569237709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605.279069767442</v>
      </c>
      <c r="G8" s="13" t="n">
        <f aca="false">F8*100/$B$1</f>
        <v>5.46034343497918</v>
      </c>
    </row>
    <row r="9" customFormat="false" ht="15" hidden="false" customHeight="true" outlineLevel="0" collapsed="false">
      <c r="A9" s="18" t="s">
        <v>66</v>
      </c>
      <c r="B9" s="18" t="s">
        <v>27</v>
      </c>
      <c r="C9" s="19" t="n">
        <v>1491</v>
      </c>
      <c r="D9" s="20" t="n">
        <f aca="false">C9*100/SUM($C$7:$C$14)</f>
        <v>22.2969941677882</v>
      </c>
      <c r="E9" s="20" t="n">
        <f aca="false">C9*100/$B$1</f>
        <v>13.4506089309878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589.46511627907</v>
      </c>
      <c r="G9" s="13" t="n">
        <f aca="false">F9*100/$B$1</f>
        <v>5.31768260062309</v>
      </c>
    </row>
    <row r="10" customFormat="false" ht="15" hidden="false" customHeight="true" outlineLevel="0" collapsed="false">
      <c r="A10" s="11" t="s">
        <v>67</v>
      </c>
      <c r="B10" s="11" t="s">
        <v>59</v>
      </c>
      <c r="C10" s="12" t="n">
        <v>509</v>
      </c>
      <c r="D10" s="13" t="n">
        <f aca="false">C10*100/SUM($C$7:$C$14)</f>
        <v>7.61178405862121</v>
      </c>
      <c r="E10" s="13" t="n">
        <f aca="false">C10*100/$B$1</f>
        <v>4.59179070816419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332.807692307692</v>
      </c>
      <c r="G10" s="13" t="n">
        <f aca="false">F10*100/$B$1</f>
        <v>3.00232469379966</v>
      </c>
    </row>
    <row r="11" customFormat="false" ht="27.75" hidden="false" customHeight="true" outlineLevel="0" collapsed="false">
      <c r="A11" s="11" t="s">
        <v>68</v>
      </c>
      <c r="B11" s="11" t="s">
        <v>59</v>
      </c>
      <c r="C11" s="12" t="n">
        <v>471</v>
      </c>
      <c r="D11" s="13" t="n">
        <f aca="false">C11*100/SUM($C$7:$C$14)</f>
        <v>7.04351727231943</v>
      </c>
      <c r="E11" s="13" t="n">
        <f aca="false">C11*100/$B$1</f>
        <v>4.2489851150203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307.961538461538</v>
      </c>
      <c r="G11" s="13" t="n">
        <f aca="false">F11*100/$B$1</f>
        <v>2.77818257520558</v>
      </c>
    </row>
    <row r="12" customFormat="false" ht="15" hidden="false" customHeight="true" outlineLevel="0" collapsed="false">
      <c r="A12" s="11" t="s">
        <v>69</v>
      </c>
      <c r="B12" s="11" t="s">
        <v>59</v>
      </c>
      <c r="C12" s="12" t="n">
        <v>373</v>
      </c>
      <c r="D12" s="13" t="n">
        <f aca="false">C12*100/SUM($C$7:$C$14)</f>
        <v>5.57798713922536</v>
      </c>
      <c r="E12" s="13" t="n">
        <f aca="false">C12*100/$B$1</f>
        <v>3.36490753270185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243.884615384615</v>
      </c>
      <c r="G12" s="13" t="n">
        <f aca="false">F12*100/$B$1</f>
        <v>2.20013184830506</v>
      </c>
    </row>
    <row r="13" s="17" customFormat="true" ht="15" hidden="false" customHeight="true" outlineLevel="0" collapsed="false">
      <c r="A13" s="14" t="s">
        <v>70</v>
      </c>
      <c r="B13" s="14" t="s">
        <v>18</v>
      </c>
      <c r="C13" s="15" t="n">
        <v>373</v>
      </c>
      <c r="D13" s="16" t="n">
        <f aca="false">C13*100/SUM($C$7:$C$14)</f>
        <v>5.57798713922536</v>
      </c>
      <c r="E13" s="16" t="n">
        <f aca="false">C13*100/$B$1</f>
        <v>3.36490753270185</v>
      </c>
      <c r="F13" s="21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885.875</v>
      </c>
      <c r="G13" s="22" t="n">
        <f aca="false">F13*100/$B$1</f>
        <v>7.99165539016689</v>
      </c>
    </row>
    <row r="14" customFormat="false" ht="15" hidden="false" customHeight="true" outlineLevel="0" collapsed="false">
      <c r="A14" s="11" t="s">
        <v>71</v>
      </c>
      <c r="B14" s="11" t="s">
        <v>20</v>
      </c>
      <c r="C14" s="12" t="n">
        <v>322</v>
      </c>
      <c r="D14" s="13" t="n">
        <f aca="false">C14*100/SUM($C$7:$C$14)</f>
        <v>4.81531329445192</v>
      </c>
      <c r="E14" s="13" t="n">
        <f aca="false">C14*100/$B$1</f>
        <v>2.90482634190347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450.8</v>
      </c>
      <c r="G14" s="13" t="n">
        <f aca="false">F14*100/$B$1</f>
        <v>4.06675687866486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97D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7463</v>
      </c>
    </row>
    <row r="2" customFormat="false" ht="30" hidden="false" customHeight="true" outlineLevel="0" collapsed="false">
      <c r="A2" s="2" t="s">
        <v>1</v>
      </c>
      <c r="B2" s="3" t="n">
        <v>2</v>
      </c>
      <c r="C2" s="3"/>
    </row>
    <row r="3" customFormat="false" ht="15" hidden="false" customHeight="true" outlineLevel="0" collapsed="false">
      <c r="A3" s="2" t="s">
        <v>2</v>
      </c>
      <c r="B3" s="4" t="n">
        <v>0.3511</v>
      </c>
    </row>
    <row r="4" customFormat="false" ht="15" hidden="false" customHeight="true" outlineLevel="0" collapsed="false">
      <c r="A4" s="2" t="s">
        <v>3</v>
      </c>
      <c r="B4" s="5" t="n">
        <v>16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1" t="s">
        <v>72</v>
      </c>
      <c r="B7" s="11" t="s">
        <v>14</v>
      </c>
      <c r="C7" s="12" t="n">
        <v>603</v>
      </c>
      <c r="D7" s="13" t="n">
        <f aca="false">C7*100/SUM($C$7:$C$14)</f>
        <v>12.191670036393</v>
      </c>
      <c r="E7" s="13" t="n">
        <f aca="false">C7*100/$B$1</f>
        <v>8.07986064585287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238.395348837209</v>
      </c>
      <c r="G7" s="13" t="n">
        <f aca="false">F7*100/$B$1</f>
        <v>3.19436351115114</v>
      </c>
    </row>
    <row r="8" customFormat="false" ht="15" hidden="false" customHeight="true" outlineLevel="0" collapsed="false">
      <c r="A8" s="11" t="s">
        <v>73</v>
      </c>
      <c r="B8" s="11" t="s">
        <v>14</v>
      </c>
      <c r="C8" s="12" t="n">
        <v>450</v>
      </c>
      <c r="D8" s="13" t="n">
        <f aca="false">C8*100/SUM($C$7:$C$14)</f>
        <v>9.09826122118884</v>
      </c>
      <c r="E8" s="13" t="n">
        <f aca="false">C8*100/$B$1</f>
        <v>6.02974675063647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177.906976744186</v>
      </c>
      <c r="G8" s="13" t="n">
        <f aca="false">F8*100/$B$1</f>
        <v>2.3838533665307</v>
      </c>
    </row>
    <row r="9" customFormat="false" ht="27.75" hidden="false" customHeight="true" outlineLevel="0" collapsed="false">
      <c r="A9" s="18" t="s">
        <v>74</v>
      </c>
      <c r="B9" s="18" t="s">
        <v>59</v>
      </c>
      <c r="C9" s="19" t="n">
        <v>1709</v>
      </c>
      <c r="D9" s="20" t="n">
        <f aca="false">C9*100/SUM($C$7:$C$14)</f>
        <v>34.5531742822483</v>
      </c>
      <c r="E9" s="20" t="n">
        <f aca="false">C9*100/$B$1</f>
        <v>22.899638215195</v>
      </c>
      <c r="F9" s="19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1117.42307692308</v>
      </c>
      <c r="G9" s="20" t="n">
        <f aca="false">F9*100/$B$1</f>
        <v>14.9728403714736</v>
      </c>
    </row>
    <row r="10" customFormat="false" ht="15" hidden="false" customHeight="true" outlineLevel="0" collapsed="false">
      <c r="A10" s="18" t="s">
        <v>75</v>
      </c>
      <c r="B10" s="18" t="s">
        <v>59</v>
      </c>
      <c r="C10" s="19" t="n">
        <v>1617</v>
      </c>
      <c r="D10" s="20" t="n">
        <f aca="false">C10*100/SUM($C$7:$C$14)</f>
        <v>32.6930853214719</v>
      </c>
      <c r="E10" s="20" t="n">
        <f aca="false">C10*100/$B$1</f>
        <v>21.6668899906204</v>
      </c>
      <c r="F10" s="19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1057.26923076923</v>
      </c>
      <c r="G10" s="20" t="n">
        <f aca="false">F10*100/$B$1</f>
        <v>14.1668126861749</v>
      </c>
    </row>
    <row r="11" s="17" customFormat="true" ht="15" hidden="false" customHeight="true" outlineLevel="0" collapsed="false">
      <c r="A11" s="14" t="s">
        <v>76</v>
      </c>
      <c r="B11" s="14" t="s">
        <v>18</v>
      </c>
      <c r="C11" s="15" t="n">
        <v>237</v>
      </c>
      <c r="D11" s="16" t="n">
        <f aca="false">C11*100/SUM($C$7:$C$14)</f>
        <v>4.79175090982612</v>
      </c>
      <c r="E11" s="16" t="n">
        <f aca="false">C11*100/$B$1</f>
        <v>3.17566662200188</v>
      </c>
      <c r="F11" s="15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562.875</v>
      </c>
      <c r="G11" s="16" t="n">
        <f aca="false">F11*100/$B$1</f>
        <v>7.54220822725446</v>
      </c>
    </row>
    <row r="12" customFormat="false" ht="27.75" hidden="false" customHeight="true" outlineLevel="0" collapsed="false">
      <c r="A12" s="11" t="s">
        <v>77</v>
      </c>
      <c r="B12" s="11" t="s">
        <v>20</v>
      </c>
      <c r="C12" s="12" t="n">
        <v>222</v>
      </c>
      <c r="D12" s="13" t="n">
        <f aca="false">C12*100/SUM($C$7:$C$14)</f>
        <v>4.48847553578649</v>
      </c>
      <c r="E12" s="13" t="n">
        <f aca="false">C12*100/$B$1</f>
        <v>2.97467506364733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310.8</v>
      </c>
      <c r="G12" s="13" t="n">
        <f aca="false">F12*100/$B$1</f>
        <v>4.16454508910626</v>
      </c>
    </row>
    <row r="13" customFormat="false" ht="15" hidden="false" customHeight="true" outlineLevel="0" collapsed="false">
      <c r="A13" s="11" t="s">
        <v>78</v>
      </c>
      <c r="B13" s="11" t="s">
        <v>79</v>
      </c>
      <c r="C13" s="12" t="n">
        <v>58</v>
      </c>
      <c r="D13" s="13" t="n">
        <f aca="false">C13*100/SUM($C$7:$C$14)</f>
        <v>1.17266477961989</v>
      </c>
      <c r="E13" s="13" t="n">
        <f aca="false">C13*100/$B$1</f>
        <v>0.777167358970923</v>
      </c>
      <c r="F13" s="12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66.2857142857143</v>
      </c>
      <c r="G13" s="13" t="n">
        <f aca="false">F13*100/$B$1</f>
        <v>0.888191267395341</v>
      </c>
    </row>
    <row r="14" customFormat="false" ht="15" hidden="false" customHeight="true" outlineLevel="0" collapsed="false">
      <c r="A14" s="11" t="s">
        <v>80</v>
      </c>
      <c r="B14" s="11" t="s">
        <v>81</v>
      </c>
      <c r="C14" s="12" t="n">
        <v>50</v>
      </c>
      <c r="D14" s="13" t="n">
        <f aca="false">C14*100/SUM($C$7:$C$14)</f>
        <v>1.01091791346543</v>
      </c>
      <c r="E14" s="13" t="n">
        <f aca="false">C14*100/$B$1</f>
        <v>0.66997186118183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57.1428571428571</v>
      </c>
      <c r="G14" s="13" t="n">
        <f aca="false">F14*100/$B$1</f>
        <v>0.765682127064949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CE1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3" activeCellId="0" sqref="A13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10049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0.3333</v>
      </c>
    </row>
    <row r="4" customFormat="false" ht="15" hidden="false" customHeight="true" outlineLevel="0" collapsed="false">
      <c r="A4" s="2" t="s">
        <v>3</v>
      </c>
      <c r="B4" s="5" t="n">
        <v>9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1" t="s">
        <v>82</v>
      </c>
      <c r="B7" s="11" t="s">
        <v>14</v>
      </c>
      <c r="C7" s="12" t="n">
        <v>358</v>
      </c>
      <c r="D7" s="13" t="n">
        <f aca="false">C7*100/SUM($C$7:$C$18)</f>
        <v>3.7831554475325</v>
      </c>
      <c r="E7" s="13" t="n">
        <f aca="false">C7*100/$B$1</f>
        <v>3.56254353667032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141.53488372093</v>
      </c>
      <c r="G7" s="13" t="n">
        <f aca="false">F7*100/$B$1</f>
        <v>1.40844744473012</v>
      </c>
    </row>
    <row r="8" customFormat="false" ht="15" hidden="false" customHeight="true" outlineLevel="0" collapsed="false">
      <c r="A8" s="11" t="s">
        <v>83</v>
      </c>
      <c r="B8" s="11" t="s">
        <v>14</v>
      </c>
      <c r="C8" s="12" t="n">
        <v>336</v>
      </c>
      <c r="D8" s="13" t="n">
        <f aca="false">C8*100/SUM($C$7:$C$18)</f>
        <v>3.55067103455564</v>
      </c>
      <c r="E8" s="13" t="n">
        <f aca="false">C8*100/$B$1</f>
        <v>3.34361628022689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132.837209302326</v>
      </c>
      <c r="G8" s="13" t="n">
        <f aca="false">F8*100/$B$1</f>
        <v>1.32189480846179</v>
      </c>
    </row>
    <row r="9" customFormat="false" ht="15" hidden="false" customHeight="true" outlineLevel="0" collapsed="false">
      <c r="A9" s="11" t="s">
        <v>84</v>
      </c>
      <c r="B9" s="11" t="s">
        <v>14</v>
      </c>
      <c r="C9" s="12" t="n">
        <v>286</v>
      </c>
      <c r="D9" s="13" t="n">
        <f aca="false">C9*100/SUM($C$7:$C$18)</f>
        <v>3.02229736869914</v>
      </c>
      <c r="E9" s="13" t="n">
        <f aca="false">C9*100/$B$1</f>
        <v>2.84605433376455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113.06976744186</v>
      </c>
      <c r="G9" s="13" t="n">
        <f aca="false">F9*100/$B$1</f>
        <v>1.12518427148831</v>
      </c>
    </row>
    <row r="10" customFormat="false" ht="15" hidden="false" customHeight="true" outlineLevel="0" collapsed="false">
      <c r="A10" s="11" t="s">
        <v>85</v>
      </c>
      <c r="B10" s="11" t="s">
        <v>16</v>
      </c>
      <c r="C10" s="12" t="n">
        <v>465</v>
      </c>
      <c r="D10" s="13" t="n">
        <f aca="false">C10*100/SUM($C$7:$C$18)</f>
        <v>4.91387509246539</v>
      </c>
      <c r="E10" s="13" t="n">
        <f aca="false">C10*100/$B$1</f>
        <v>4.62732610209971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304.038461538462</v>
      </c>
      <c r="G10" s="13" t="n">
        <f aca="false">F10*100/$B$1</f>
        <v>3.02555937444981</v>
      </c>
    </row>
    <row r="11" customFormat="false" ht="27.75" hidden="false" customHeight="true" outlineLevel="0" collapsed="false">
      <c r="A11" s="11" t="s">
        <v>86</v>
      </c>
      <c r="B11" s="11" t="s">
        <v>16</v>
      </c>
      <c r="C11" s="12" t="n">
        <v>427</v>
      </c>
      <c r="D11" s="13" t="n">
        <f aca="false">C11*100/SUM($C$7:$C$18)</f>
        <v>4.51231110641446</v>
      </c>
      <c r="E11" s="13" t="n">
        <f aca="false">C11*100/$B$1</f>
        <v>4.24917902278834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279.192307692308</v>
      </c>
      <c r="G11" s="13" t="n">
        <f aca="false">F11*100/$B$1</f>
        <v>2.77830936105391</v>
      </c>
    </row>
    <row r="12" customFormat="false" ht="15" hidden="false" customHeight="true" outlineLevel="0" collapsed="false">
      <c r="A12" s="11" t="s">
        <v>87</v>
      </c>
      <c r="B12" s="11" t="s">
        <v>16</v>
      </c>
      <c r="C12" s="12" t="n">
        <v>409</v>
      </c>
      <c r="D12" s="13" t="n">
        <f aca="false">C12*100/SUM($C$7:$C$18)</f>
        <v>4.32209658670612</v>
      </c>
      <c r="E12" s="13" t="n">
        <f aca="false">C12*100/$B$1</f>
        <v>4.0700567220619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267.423076923077</v>
      </c>
      <c r="G12" s="13" t="n">
        <f aca="false">F12*100/$B$1</f>
        <v>2.66119093365586</v>
      </c>
    </row>
    <row r="13" s="17" customFormat="true" ht="15" hidden="false" customHeight="true" outlineLevel="0" collapsed="false">
      <c r="A13" s="14" t="s">
        <v>88</v>
      </c>
      <c r="B13" s="14" t="s">
        <v>18</v>
      </c>
      <c r="C13" s="15" t="n">
        <v>140</v>
      </c>
      <c r="D13" s="16" t="n">
        <f aca="false">C13*100/SUM($C$7:$C$18)</f>
        <v>1.47944626439818</v>
      </c>
      <c r="E13" s="16" t="n">
        <f aca="false">C13*100/$B$1</f>
        <v>1.39317345009454</v>
      </c>
      <c r="F13" s="15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332.5</v>
      </c>
      <c r="G13" s="16" t="n">
        <f aca="false">F13*100/$B$1</f>
        <v>3.30878694397452</v>
      </c>
    </row>
    <row r="14" customFormat="false" ht="27.75" hidden="false" customHeight="true" outlineLevel="0" collapsed="false">
      <c r="A14" s="11" t="s">
        <v>89</v>
      </c>
      <c r="B14" s="11" t="s">
        <v>20</v>
      </c>
      <c r="C14" s="12" t="n">
        <v>51</v>
      </c>
      <c r="D14" s="13" t="n">
        <f aca="false">C14*100/SUM($C$7:$C$18)</f>
        <v>0.538941139173624</v>
      </c>
      <c r="E14" s="13" t="n">
        <f aca="false">C14*100/$B$1</f>
        <v>0.507513185391581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71.4</v>
      </c>
      <c r="G14" s="13" t="n">
        <f aca="false">F14*100/$B$1</f>
        <v>0.710518459548214</v>
      </c>
    </row>
    <row r="15" customFormat="false" ht="27.75" hidden="false" customHeight="true" outlineLevel="0" collapsed="false">
      <c r="A15" s="11" t="s">
        <v>90</v>
      </c>
      <c r="B15" s="11" t="s">
        <v>22</v>
      </c>
      <c r="C15" s="12" t="n">
        <v>94</v>
      </c>
      <c r="D15" s="13" t="n">
        <f aca="false">C15*100/SUM($C$7:$C$18)</f>
        <v>0.993342491810208</v>
      </c>
      <c r="E15" s="13" t="n">
        <f aca="false">C15*100/$B$1</f>
        <v>0.935416459349189</v>
      </c>
      <c r="F15" s="12" t="n">
        <f aca="false">C15*IF(ISNUMBER(SEARCH("Labour",B15)),National!$L$4,IF(ISNUMBER(SEARCH("Conservative",B15)),National!$L$5,IF(OR(ISNUMBER(SEARCH("Reform",B15)),ISNUMBER(SEARCH("RefUK",B15))),National!$L$6,IF(ISNUMBER(SEARCH("Green",B15)),National!$L$7,IF(OR(ISNUMBER(SEARCH("Liberal Democrat",B15)),ISNUMBER(SEARCH("Lib Dem",B15))),National!$L$8,National!$L$9)))))</f>
        <v>391.666666666667</v>
      </c>
      <c r="G15" s="13" t="n">
        <f aca="false">F15*100/$B$1</f>
        <v>3.89756858062162</v>
      </c>
    </row>
    <row r="16" customFormat="false" ht="15" hidden="false" customHeight="true" outlineLevel="0" collapsed="false">
      <c r="A16" s="18" t="s">
        <v>91</v>
      </c>
      <c r="B16" s="18" t="s">
        <v>24</v>
      </c>
      <c r="C16" s="19" t="n">
        <v>2388</v>
      </c>
      <c r="D16" s="20" t="n">
        <f aca="false">C16*100/SUM($C$7:$C$18)</f>
        <v>25.2351262813061</v>
      </c>
      <c r="E16" s="20" t="n">
        <f aca="false">C16*100/$B$1</f>
        <v>23.7635585630411</v>
      </c>
      <c r="F16" s="19" t="n">
        <f aca="false">C16*IF(ISNUMBER(SEARCH("Labour",B16)),National!$L$4,IF(ISNUMBER(SEARCH("Conservative",B16)),National!$L$5,IF(OR(ISNUMBER(SEARCH("Reform",B16)),ISNUMBER(SEARCH("RefUK",B16))),National!$L$6,IF(ISNUMBER(SEARCH("Green",B16)),National!$L$7,IF(OR(ISNUMBER(SEARCH("Liberal Democrat",B16)),ISNUMBER(SEARCH("Lib Dem",B16))),National!$L$8,National!$L$9)))))</f>
        <v>2729.14285714286</v>
      </c>
      <c r="G16" s="20" t="n">
        <f aca="false">F16*100/$B$1</f>
        <v>27.1583526434755</v>
      </c>
    </row>
    <row r="17" customFormat="false" ht="15" hidden="false" customHeight="true" outlineLevel="0" collapsed="false">
      <c r="A17" s="18" t="s">
        <v>92</v>
      </c>
      <c r="B17" s="18" t="s">
        <v>24</v>
      </c>
      <c r="C17" s="19" t="n">
        <v>2279</v>
      </c>
      <c r="D17" s="20" t="n">
        <f aca="false">C17*100/SUM($C$7:$C$18)</f>
        <v>24.083271689739</v>
      </c>
      <c r="E17" s="20" t="n">
        <f aca="false">C17*100/$B$1</f>
        <v>22.6788735197532</v>
      </c>
      <c r="F17" s="19" t="n">
        <f aca="false">C17*IF(ISNUMBER(SEARCH("Labour",B17)),National!$L$4,IF(ISNUMBER(SEARCH("Conservative",B17)),National!$L$5,IF(OR(ISNUMBER(SEARCH("Reform",B17)),ISNUMBER(SEARCH("RefUK",B17))),National!$L$6,IF(ISNUMBER(SEARCH("Green",B17)),National!$L$7,IF(OR(ISNUMBER(SEARCH("Liberal Democrat",B17)),ISNUMBER(SEARCH("Lib Dem",B17))),National!$L$8,National!$L$9)))))</f>
        <v>2604.57142857143</v>
      </c>
      <c r="G17" s="20" t="n">
        <f aca="false">F17*100/$B$1</f>
        <v>25.9187125940037</v>
      </c>
    </row>
    <row r="18" customFormat="false" ht="15" hidden="false" customHeight="true" outlineLevel="0" collapsed="false">
      <c r="A18" s="18" t="s">
        <v>93</v>
      </c>
      <c r="B18" s="18" t="s">
        <v>24</v>
      </c>
      <c r="C18" s="19" t="n">
        <v>2230</v>
      </c>
      <c r="D18" s="20" t="n">
        <f aca="false">C18*100/SUM($C$7:$C$18)</f>
        <v>23.5654654971996</v>
      </c>
      <c r="E18" s="20" t="n">
        <f aca="false">C18*100/$B$1</f>
        <v>22.1912628122201</v>
      </c>
      <c r="F18" s="19" t="n">
        <f aca="false">C18*IF(ISNUMBER(SEARCH("Labour",B18)),National!$L$4,IF(ISNUMBER(SEARCH("Conservative",B18)),National!$L$5,IF(OR(ISNUMBER(SEARCH("Reform",B18)),ISNUMBER(SEARCH("RefUK",B18))),National!$L$6,IF(ISNUMBER(SEARCH("Green",B18)),National!$L$7,IF(OR(ISNUMBER(SEARCH("Liberal Democrat",B18)),ISNUMBER(SEARCH("Lib Dem",B18))),National!$L$8,National!$L$9)))))</f>
        <v>2548.57142857143</v>
      </c>
      <c r="G18" s="20" t="n">
        <f aca="false">F18*100/$B$1</f>
        <v>25.3614432139659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97D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10857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0.2758</v>
      </c>
    </row>
    <row r="4" customFormat="false" ht="15" hidden="false" customHeight="true" outlineLevel="0" collapsed="false">
      <c r="A4" s="2" t="s">
        <v>3</v>
      </c>
      <c r="B4" s="5" t="n">
        <v>0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1" t="s">
        <v>94</v>
      </c>
      <c r="B7" s="11" t="s">
        <v>14</v>
      </c>
      <c r="C7" s="12" t="n">
        <v>917</v>
      </c>
      <c r="D7" s="13" t="n">
        <f aca="false">C7*100/SUM($C$7:$C$14)</f>
        <v>11.1557177615572</v>
      </c>
      <c r="E7" s="13" t="n">
        <f aca="false">C7*100/$B$1</f>
        <v>8.4461637653127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362.53488372093</v>
      </c>
      <c r="G7" s="13" t="n">
        <f aca="false">F7*100/$B$1</f>
        <v>3.33918102349572</v>
      </c>
    </row>
    <row r="8" customFormat="false" ht="15" hidden="false" customHeight="true" outlineLevel="0" collapsed="false">
      <c r="A8" s="11" t="s">
        <v>95</v>
      </c>
      <c r="B8" s="11" t="s">
        <v>14</v>
      </c>
      <c r="C8" s="12" t="n">
        <v>817</v>
      </c>
      <c r="D8" s="13" t="n">
        <f aca="false">C8*100/SUM($C$7:$C$14)</f>
        <v>9.93917274939173</v>
      </c>
      <c r="E8" s="13" t="n">
        <f aca="false">C8*100/$B$1</f>
        <v>7.52509901446072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323</v>
      </c>
      <c r="G8" s="13" t="n">
        <f aca="false">F8*100/$B$1</f>
        <v>2.97503914525191</v>
      </c>
    </row>
    <row r="9" customFormat="false" ht="27.75" hidden="false" customHeight="true" outlineLevel="0" collapsed="false">
      <c r="A9" s="11" t="s">
        <v>96</v>
      </c>
      <c r="B9" s="11" t="s">
        <v>14</v>
      </c>
      <c r="C9" s="12" t="n">
        <v>777</v>
      </c>
      <c r="D9" s="13" t="n">
        <f aca="false">C9*100/SUM($C$7:$C$14)</f>
        <v>9.45255474452555</v>
      </c>
      <c r="E9" s="13" t="n">
        <f aca="false">C9*100/$B$1</f>
        <v>7.15667311411992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307.186046511628</v>
      </c>
      <c r="G9" s="13" t="n">
        <f aca="false">F9*100/$B$1</f>
        <v>2.82938239395439</v>
      </c>
    </row>
    <row r="10" customFormat="false" ht="15" hidden="false" customHeight="true" outlineLevel="0" collapsed="false">
      <c r="A10" s="18" t="s">
        <v>97</v>
      </c>
      <c r="B10" s="18" t="s">
        <v>16</v>
      </c>
      <c r="C10" s="19" t="n">
        <v>1752</v>
      </c>
      <c r="D10" s="20" t="n">
        <f aca="false">C10*100/SUM($C$7:$C$14)</f>
        <v>21.3138686131387</v>
      </c>
      <c r="E10" s="20" t="n">
        <f aca="false">C10*100/$B$1</f>
        <v>16.1370544349268</v>
      </c>
      <c r="F10" s="19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1145.53846153846</v>
      </c>
      <c r="G10" s="20" t="n">
        <f aca="false">F10*100/$B$1</f>
        <v>10.5511509766829</v>
      </c>
    </row>
    <row r="11" customFormat="false" ht="15" hidden="false" customHeight="true" outlineLevel="0" collapsed="false">
      <c r="A11" s="18" t="s">
        <v>98</v>
      </c>
      <c r="B11" s="18" t="s">
        <v>16</v>
      </c>
      <c r="C11" s="19" t="n">
        <v>1728</v>
      </c>
      <c r="D11" s="20" t="n">
        <f aca="false">C11*100/SUM($C$7:$C$14)</f>
        <v>21.021897810219</v>
      </c>
      <c r="E11" s="20" t="n">
        <f aca="false">C11*100/$B$1</f>
        <v>15.9159988947223</v>
      </c>
      <c r="F11" s="19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1129.84615384615</v>
      </c>
      <c r="G11" s="20" t="n">
        <f aca="false">F11*100/$B$1</f>
        <v>10.4066146619338</v>
      </c>
    </row>
    <row r="12" customFormat="false" ht="15" hidden="false" customHeight="true" outlineLevel="0" collapsed="false">
      <c r="A12" s="18" t="s">
        <v>99</v>
      </c>
      <c r="B12" s="18" t="s">
        <v>16</v>
      </c>
      <c r="C12" s="19" t="n">
        <v>1618</v>
      </c>
      <c r="D12" s="20" t="n">
        <f aca="false">C12*100/SUM($C$7:$C$14)</f>
        <v>19.683698296837</v>
      </c>
      <c r="E12" s="20" t="n">
        <f aca="false">C12*100/$B$1</f>
        <v>14.9028276687851</v>
      </c>
      <c r="F12" s="19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1057.92307692308</v>
      </c>
      <c r="G12" s="20" t="n">
        <f aca="false">F12*100/$B$1</f>
        <v>9.74415655266719</v>
      </c>
    </row>
    <row r="13" s="17" customFormat="true" ht="15" hidden="false" customHeight="true" outlineLevel="0" collapsed="false">
      <c r="A13" s="14" t="s">
        <v>100</v>
      </c>
      <c r="B13" s="14" t="s">
        <v>18</v>
      </c>
      <c r="C13" s="15" t="n">
        <v>339</v>
      </c>
      <c r="D13" s="16" t="n">
        <f aca="false">C13*100/SUM($C$7:$C$14)</f>
        <v>4.12408759124088</v>
      </c>
      <c r="E13" s="16" t="n">
        <f aca="false">C13*100/$B$1</f>
        <v>3.12240950538823</v>
      </c>
      <c r="F13" s="15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805.125</v>
      </c>
      <c r="G13" s="16" t="n">
        <f aca="false">F13*100/$B$1</f>
        <v>7.41572257529704</v>
      </c>
    </row>
    <row r="14" customFormat="false" ht="15" hidden="false" customHeight="true" outlineLevel="0" collapsed="false">
      <c r="A14" s="11" t="s">
        <v>101</v>
      </c>
      <c r="B14" s="11" t="s">
        <v>20</v>
      </c>
      <c r="C14" s="12" t="n">
        <v>272</v>
      </c>
      <c r="D14" s="13" t="n">
        <f aca="false">C14*100/SUM($C$7:$C$14)</f>
        <v>3.30900243309002</v>
      </c>
      <c r="E14" s="13" t="n">
        <f aca="false">C14*100/$B$1</f>
        <v>2.5052961223174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380.8</v>
      </c>
      <c r="G14" s="13" t="n">
        <f aca="false">F14*100/$B$1</f>
        <v>3.50741457124436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6871</v>
      </c>
    </row>
    <row r="2" customFormat="false" ht="30" hidden="false" customHeight="true" outlineLevel="0" collapsed="false">
      <c r="A2" s="2" t="s">
        <v>1</v>
      </c>
      <c r="B2" s="3" t="n">
        <v>2</v>
      </c>
      <c r="C2" s="3"/>
    </row>
    <row r="3" customFormat="false" ht="15" hidden="false" customHeight="true" outlineLevel="0" collapsed="false">
      <c r="A3" s="2" t="s">
        <v>2</v>
      </c>
      <c r="B3" s="4" t="n">
        <v>0.2235</v>
      </c>
    </row>
    <row r="4" customFormat="false" ht="15" hidden="false" customHeight="true" outlineLevel="0" collapsed="false">
      <c r="A4" s="2" t="s">
        <v>3</v>
      </c>
      <c r="B4" s="5" t="n">
        <v>14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8" t="s">
        <v>102</v>
      </c>
      <c r="B7" s="18" t="s">
        <v>27</v>
      </c>
      <c r="C7" s="19" t="n">
        <v>796</v>
      </c>
      <c r="D7" s="20" t="n">
        <f aca="false">C7*100/SUM($C$7:$C$12)</f>
        <v>27.3727647867951</v>
      </c>
      <c r="E7" s="20" t="n">
        <f aca="false">C7*100/$B$1</f>
        <v>11.5849221365158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314.697674418605</v>
      </c>
      <c r="G7" s="13" t="n">
        <f aca="false">F7*100/$B$1</f>
        <v>4.58008549583182</v>
      </c>
    </row>
    <row r="8" customFormat="false" ht="27.75" hidden="false" customHeight="true" outlineLevel="0" collapsed="false">
      <c r="A8" s="18" t="s">
        <v>103</v>
      </c>
      <c r="B8" s="18" t="s">
        <v>27</v>
      </c>
      <c r="C8" s="19" t="n">
        <v>751</v>
      </c>
      <c r="D8" s="20" t="n">
        <f aca="false">C8*100/SUM($C$7:$C$12)</f>
        <v>25.8253094910591</v>
      </c>
      <c r="E8" s="20" t="n">
        <f aca="false">C8*100/$B$1</f>
        <v>10.9299956338233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296.906976744186</v>
      </c>
      <c r="G8" s="13" t="n">
        <f aca="false">F8*100/$B$1</f>
        <v>4.3211610645348</v>
      </c>
    </row>
    <row r="9" customFormat="false" ht="27.75" hidden="false" customHeight="true" outlineLevel="0" collapsed="false">
      <c r="A9" s="11" t="s">
        <v>104</v>
      </c>
      <c r="B9" s="11" t="s">
        <v>59</v>
      </c>
      <c r="C9" s="12" t="n">
        <v>541</v>
      </c>
      <c r="D9" s="13" t="n">
        <f aca="false">C9*100/SUM($C$7:$C$12)</f>
        <v>18.6038514442916</v>
      </c>
      <c r="E9" s="13" t="n">
        <f aca="false">C9*100/$B$1</f>
        <v>7.87367195459176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353.730769230769</v>
      </c>
      <c r="G9" s="13" t="n">
        <f aca="false">F9*100/$B$1</f>
        <v>5.14817012415615</v>
      </c>
    </row>
    <row r="10" customFormat="false" ht="27.75" hidden="false" customHeight="true" outlineLevel="0" collapsed="false">
      <c r="A10" s="11" t="s">
        <v>105</v>
      </c>
      <c r="B10" s="11" t="s">
        <v>59</v>
      </c>
      <c r="C10" s="12" t="n">
        <v>510</v>
      </c>
      <c r="D10" s="13" t="n">
        <f aca="false">C10*100/SUM($C$7:$C$12)</f>
        <v>17.5378266850069</v>
      </c>
      <c r="E10" s="13" t="n">
        <f aca="false">C10*100/$B$1</f>
        <v>7.42250036384806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333.461538461538</v>
      </c>
      <c r="G10" s="13" t="n">
        <f aca="false">F10*100/$B$1</f>
        <v>4.85317331482373</v>
      </c>
    </row>
    <row r="11" s="17" customFormat="true" ht="27.75" hidden="false" customHeight="true" outlineLevel="0" collapsed="false">
      <c r="A11" s="14" t="s">
        <v>106</v>
      </c>
      <c r="B11" s="14" t="s">
        <v>18</v>
      </c>
      <c r="C11" s="15" t="n">
        <v>174</v>
      </c>
      <c r="D11" s="16" t="n">
        <f aca="false">C11*100/SUM($C$7:$C$12)</f>
        <v>5.98349381017882</v>
      </c>
      <c r="E11" s="16" t="n">
        <f aca="false">C11*100/$B$1</f>
        <v>2.53238247707757</v>
      </c>
      <c r="F11" s="21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413.25</v>
      </c>
      <c r="G11" s="22" t="n">
        <f aca="false">F11*100/$B$1</f>
        <v>6.01440838305923</v>
      </c>
    </row>
    <row r="12" customFormat="false" ht="15" hidden="false" customHeight="true" outlineLevel="0" collapsed="false">
      <c r="A12" s="11" t="s">
        <v>107</v>
      </c>
      <c r="B12" s="11" t="s">
        <v>20</v>
      </c>
      <c r="C12" s="12" t="n">
        <v>136</v>
      </c>
      <c r="D12" s="13" t="n">
        <f aca="false">C12*100/SUM($C$7:$C$12)</f>
        <v>4.6767537826685</v>
      </c>
      <c r="E12" s="13" t="n">
        <f aca="false">C12*100/$B$1</f>
        <v>1.97933343035948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190.4</v>
      </c>
      <c r="G12" s="13" t="n">
        <f aca="false">F12*100/$B$1</f>
        <v>2.77106680250327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97D"/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6645</v>
      </c>
    </row>
    <row r="2" customFormat="false" ht="30" hidden="false" customHeight="true" outlineLevel="0" collapsed="false">
      <c r="A2" s="2" t="s">
        <v>1</v>
      </c>
      <c r="B2" s="3" t="n">
        <v>2</v>
      </c>
      <c r="C2" s="3"/>
    </row>
    <row r="3" customFormat="false" ht="15" hidden="false" customHeight="true" outlineLevel="0" collapsed="false">
      <c r="A3" s="2" t="s">
        <v>2</v>
      </c>
      <c r="B3" s="4" t="n">
        <v>0.2439</v>
      </c>
    </row>
    <row r="4" customFormat="false" ht="15" hidden="false" customHeight="true" outlineLevel="0" collapsed="false">
      <c r="A4" s="2" t="s">
        <v>3</v>
      </c>
      <c r="B4" s="5" t="n">
        <v>0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1" t="s">
        <v>108</v>
      </c>
      <c r="B7" s="11" t="s">
        <v>14</v>
      </c>
      <c r="C7" s="12" t="n">
        <v>486</v>
      </c>
      <c r="D7" s="13" t="n">
        <f aca="false">C7*100/SUM($C$7:$C$12)</f>
        <v>15.9135559921415</v>
      </c>
      <c r="E7" s="13" t="n">
        <f aca="false">C7*100/$B$1</f>
        <v>7.313769751693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192.139534883721</v>
      </c>
      <c r="G7" s="13" t="n">
        <f aca="false">F7*100/$B$1</f>
        <v>2.8914903669484</v>
      </c>
    </row>
    <row r="8" customFormat="false" ht="27.75" hidden="false" customHeight="true" outlineLevel="0" collapsed="false">
      <c r="A8" s="11" t="s">
        <v>109</v>
      </c>
      <c r="B8" s="11" t="s">
        <v>14</v>
      </c>
      <c r="C8" s="12" t="n">
        <v>425</v>
      </c>
      <c r="D8" s="13" t="n">
        <f aca="false">C8*100/SUM($C$7:$C$12)</f>
        <v>13.9161755075311</v>
      </c>
      <c r="E8" s="13" t="n">
        <f aca="false">C8*100/$B$1</f>
        <v>6.39578630549285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168.023255813953</v>
      </c>
      <c r="G8" s="13" t="n">
        <f aca="false">F8*100/$B$1</f>
        <v>2.52856667891578</v>
      </c>
    </row>
    <row r="9" customFormat="false" ht="27.75" hidden="false" customHeight="true" outlineLevel="0" collapsed="false">
      <c r="A9" s="18" t="s">
        <v>110</v>
      </c>
      <c r="B9" s="18" t="s">
        <v>59</v>
      </c>
      <c r="C9" s="19" t="n">
        <v>938</v>
      </c>
      <c r="D9" s="20" t="n">
        <f aca="false">C9*100/SUM($C$7:$C$12)</f>
        <v>30.7138179436804</v>
      </c>
      <c r="E9" s="20" t="n">
        <f aca="false">C9*100/$B$1</f>
        <v>14.1158765989466</v>
      </c>
      <c r="F9" s="19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613.307692307692</v>
      </c>
      <c r="G9" s="20" t="n">
        <f aca="false">F9*100/$B$1</f>
        <v>9.22961162238815</v>
      </c>
    </row>
    <row r="10" customFormat="false" ht="27.75" hidden="false" customHeight="true" outlineLevel="0" collapsed="false">
      <c r="A10" s="18" t="s">
        <v>111</v>
      </c>
      <c r="B10" s="18" t="s">
        <v>59</v>
      </c>
      <c r="C10" s="19" t="n">
        <v>933</v>
      </c>
      <c r="D10" s="20" t="n">
        <f aca="false">C10*100/SUM($C$7:$C$12)</f>
        <v>30.5500982318271</v>
      </c>
      <c r="E10" s="20" t="n">
        <f aca="false">C10*100/$B$1</f>
        <v>14.0406320541761</v>
      </c>
      <c r="F10" s="19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610.038461538462</v>
      </c>
      <c r="G10" s="20" t="n">
        <f aca="false">F10*100/$B$1</f>
        <v>9.18041326619205</v>
      </c>
    </row>
    <row r="11" s="17" customFormat="true" ht="15" hidden="false" customHeight="true" outlineLevel="0" collapsed="false">
      <c r="A11" s="14" t="s">
        <v>112</v>
      </c>
      <c r="B11" s="14" t="s">
        <v>18</v>
      </c>
      <c r="C11" s="15" t="n">
        <v>156</v>
      </c>
      <c r="D11" s="16" t="n">
        <f aca="false">C11*100/SUM($C$7:$C$12)</f>
        <v>5.10805500982318</v>
      </c>
      <c r="E11" s="16" t="n">
        <f aca="false">C11*100/$B$1</f>
        <v>2.34762979683973</v>
      </c>
      <c r="F11" s="15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370.5</v>
      </c>
      <c r="G11" s="16" t="n">
        <f aca="false">F11*100/$B$1</f>
        <v>5.57562076749436</v>
      </c>
    </row>
    <row r="12" customFormat="false" ht="15" hidden="false" customHeight="true" outlineLevel="0" collapsed="false">
      <c r="A12" s="11" t="s">
        <v>113</v>
      </c>
      <c r="B12" s="11" t="s">
        <v>20</v>
      </c>
      <c r="C12" s="12" t="n">
        <v>116</v>
      </c>
      <c r="D12" s="13" t="n">
        <f aca="false">C12*100/SUM($C$7:$C$12)</f>
        <v>3.79829731499673</v>
      </c>
      <c r="E12" s="13" t="n">
        <f aca="false">C12*100/$B$1</f>
        <v>1.7456734386757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162.4</v>
      </c>
      <c r="G12" s="13" t="n">
        <f aca="false">F12*100/$B$1</f>
        <v>2.44394281414597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27" activeCellId="0" sqref="B27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10341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0.2873</v>
      </c>
    </row>
    <row r="4" customFormat="false" ht="15" hidden="false" customHeight="true" outlineLevel="0" collapsed="false">
      <c r="A4" s="2" t="s">
        <v>3</v>
      </c>
      <c r="B4" s="5" t="n">
        <v>0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1" t="s">
        <v>114</v>
      </c>
      <c r="B7" s="11" t="s">
        <v>14</v>
      </c>
      <c r="C7" s="12" t="n">
        <v>1025</v>
      </c>
      <c r="D7" s="13" t="n">
        <f aca="false">C7*100/SUM($C$7:$C$16)</f>
        <v>12.51220703125</v>
      </c>
      <c r="E7" s="13" t="n">
        <f aca="false">C7*100/$B$1</f>
        <v>9.91200077361957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405.232558139535</v>
      </c>
      <c r="G7" s="13" t="n">
        <f aca="false">F7*100/$B$1</f>
        <v>3.9186979802682</v>
      </c>
    </row>
    <row r="8" customFormat="false" ht="27.75" hidden="false" customHeight="true" outlineLevel="0" collapsed="false">
      <c r="A8" s="11" t="s">
        <v>115</v>
      </c>
      <c r="B8" s="11" t="s">
        <v>14</v>
      </c>
      <c r="C8" s="12" t="n">
        <v>946</v>
      </c>
      <c r="D8" s="13" t="n">
        <f aca="false">C8*100/SUM($C$7:$C$16)</f>
        <v>11.5478515625</v>
      </c>
      <c r="E8" s="13" t="n">
        <f aca="false">C8*100/$B$1</f>
        <v>9.14805144570158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374</v>
      </c>
      <c r="G8" s="13" t="n">
        <f aca="false">F8*100/$B$1</f>
        <v>3.616671501789</v>
      </c>
    </row>
    <row r="9" customFormat="false" ht="27.75" hidden="false" customHeight="true" outlineLevel="0" collapsed="false">
      <c r="A9" s="11" t="s">
        <v>116</v>
      </c>
      <c r="B9" s="11" t="s">
        <v>14</v>
      </c>
      <c r="C9" s="12" t="n">
        <v>907</v>
      </c>
      <c r="D9" s="13" t="n">
        <f aca="false">C9*100/SUM($C$7:$C$16)</f>
        <v>11.07177734375</v>
      </c>
      <c r="E9" s="13" t="n">
        <f aca="false">C9*100/$B$1</f>
        <v>8.77091190407117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358.581395348837</v>
      </c>
      <c r="G9" s="13" t="n">
        <f aca="false">F9*100/$B$1</f>
        <v>3.46756982253977</v>
      </c>
    </row>
    <row r="10" customFormat="false" ht="15" hidden="false" customHeight="true" outlineLevel="0" collapsed="false">
      <c r="A10" s="18" t="s">
        <v>117</v>
      </c>
      <c r="B10" s="18" t="s">
        <v>59</v>
      </c>
      <c r="C10" s="19" t="n">
        <v>1210</v>
      </c>
      <c r="D10" s="20" t="n">
        <f aca="false">C10*100/SUM($C$7:$C$16)</f>
        <v>14.7705078125</v>
      </c>
      <c r="E10" s="20" t="n">
        <f aca="false">C10*100/$B$1</f>
        <v>11.7009960351997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791.153846153846</v>
      </c>
      <c r="G10" s="13" t="n">
        <f aca="false">F10*100/$B$1</f>
        <v>7.65065125378441</v>
      </c>
    </row>
    <row r="11" customFormat="false" ht="15" hidden="false" customHeight="true" outlineLevel="0" collapsed="false">
      <c r="A11" s="18" t="s">
        <v>118</v>
      </c>
      <c r="B11" s="18" t="s">
        <v>59</v>
      </c>
      <c r="C11" s="19" t="n">
        <v>1138</v>
      </c>
      <c r="D11" s="20" t="n">
        <f aca="false">C11*100/SUM($C$7:$C$16)</f>
        <v>13.8916015625</v>
      </c>
      <c r="E11" s="20" t="n">
        <f aca="false">C11*100/$B$1</f>
        <v>11.004738419882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744.076923076923</v>
      </c>
      <c r="G11" s="13" t="n">
        <f aca="false">F11*100/$B$1</f>
        <v>7.19540588992286</v>
      </c>
    </row>
    <row r="12" customFormat="false" ht="15" hidden="false" customHeight="true" outlineLevel="0" collapsed="false">
      <c r="A12" s="18" t="s">
        <v>119</v>
      </c>
      <c r="B12" s="18" t="s">
        <v>59</v>
      </c>
      <c r="C12" s="19" t="n">
        <v>1124</v>
      </c>
      <c r="D12" s="20" t="n">
        <f aca="false">C12*100/SUM($C$7:$C$16)</f>
        <v>13.720703125</v>
      </c>
      <c r="E12" s="20" t="n">
        <f aca="false">C12*100/$B$1</f>
        <v>10.8693549946814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734.923076923077</v>
      </c>
      <c r="G12" s="13" t="n">
        <f aca="false">F12*100/$B$1</f>
        <v>7.10688595806089</v>
      </c>
    </row>
    <row r="13" s="17" customFormat="true" ht="27.75" hidden="false" customHeight="true" outlineLevel="0" collapsed="false">
      <c r="A13" s="14" t="s">
        <v>120</v>
      </c>
      <c r="B13" s="14" t="s">
        <v>18</v>
      </c>
      <c r="C13" s="15" t="n">
        <v>442</v>
      </c>
      <c r="D13" s="16" t="n">
        <f aca="false">C13*100/SUM($C$7:$C$16)</f>
        <v>5.3955078125</v>
      </c>
      <c r="E13" s="16" t="n">
        <f aca="false">C13*100/$B$1</f>
        <v>4.2742481384779</v>
      </c>
      <c r="F13" s="21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1049.75</v>
      </c>
      <c r="G13" s="22" t="n">
        <f aca="false">F13*100/$B$1</f>
        <v>10.151339328885</v>
      </c>
    </row>
    <row r="14" customFormat="false" ht="15" hidden="false" customHeight="true" outlineLevel="0" collapsed="false">
      <c r="A14" s="11" t="s">
        <v>121</v>
      </c>
      <c r="B14" s="11" t="s">
        <v>20</v>
      </c>
      <c r="C14" s="12" t="n">
        <v>675</v>
      </c>
      <c r="D14" s="13" t="n">
        <f aca="false">C14*100/SUM($C$7:$C$16)</f>
        <v>8.23974609375</v>
      </c>
      <c r="E14" s="13" t="n">
        <f aca="false">C14*100/$B$1</f>
        <v>6.52741514360313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945</v>
      </c>
      <c r="G14" s="13" t="n">
        <f aca="false">F14*100/$B$1</f>
        <v>9.13838120104439</v>
      </c>
    </row>
    <row r="15" customFormat="false" ht="15" hidden="false" customHeight="true" outlineLevel="0" collapsed="false">
      <c r="A15" s="11" t="s">
        <v>122</v>
      </c>
      <c r="B15" s="11" t="s">
        <v>20</v>
      </c>
      <c r="C15" s="12" t="n">
        <v>402</v>
      </c>
      <c r="D15" s="13" t="n">
        <f aca="false">C15*100/SUM($C$7:$C$16)</f>
        <v>4.9072265625</v>
      </c>
      <c r="E15" s="13" t="n">
        <f aca="false">C15*100/$B$1</f>
        <v>3.88743835219031</v>
      </c>
      <c r="F15" s="12" t="n">
        <f aca="false">C15*IF(ISNUMBER(SEARCH("Labour",B15)),National!$L$4,IF(ISNUMBER(SEARCH("Conservative",B15)),National!$L$5,IF(OR(ISNUMBER(SEARCH("Reform",B15)),ISNUMBER(SEARCH("RefUK",B15))),National!$L$6,IF(ISNUMBER(SEARCH("Green",B15)),National!$L$7,IF(OR(ISNUMBER(SEARCH("Liberal Democrat",B15)),ISNUMBER(SEARCH("Lib Dem",B15))),National!$L$8,National!$L$9)))))</f>
        <v>562.8</v>
      </c>
      <c r="G15" s="13" t="n">
        <f aca="false">F15*100/$B$1</f>
        <v>5.44241369306643</v>
      </c>
    </row>
    <row r="16" customFormat="false" ht="27.75" hidden="false" customHeight="true" outlineLevel="0" collapsed="false">
      <c r="A16" s="11" t="s">
        <v>123</v>
      </c>
      <c r="B16" s="11" t="s">
        <v>20</v>
      </c>
      <c r="C16" s="12" t="n">
        <v>323</v>
      </c>
      <c r="D16" s="13" t="n">
        <f aca="false">C16*100/SUM($C$7:$C$16)</f>
        <v>3.94287109375</v>
      </c>
      <c r="E16" s="13" t="n">
        <f aca="false">C16*100/$B$1</f>
        <v>3.12348902427231</v>
      </c>
      <c r="F16" s="12" t="n">
        <f aca="false">C16*IF(ISNUMBER(SEARCH("Labour",B16)),National!$L$4,IF(ISNUMBER(SEARCH("Conservative",B16)),National!$L$5,IF(OR(ISNUMBER(SEARCH("Reform",B16)),ISNUMBER(SEARCH("RefUK",B16))),National!$L$6,IF(ISNUMBER(SEARCH("Green",B16)),National!$L$7,IF(OR(ISNUMBER(SEARCH("Liberal Democrat",B16)),ISNUMBER(SEARCH("Lib Dem",B16))),National!$L$8,National!$L$9)))))</f>
        <v>452.2</v>
      </c>
      <c r="G16" s="13" t="n">
        <f aca="false">F16*100/$B$1</f>
        <v>4.37288463398124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10466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0.2715</v>
      </c>
    </row>
    <row r="4" customFormat="false" ht="15" hidden="false" customHeight="true" outlineLevel="0" collapsed="false">
      <c r="A4" s="2" t="s">
        <v>3</v>
      </c>
      <c r="B4" s="5" t="n">
        <v>9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1" t="s">
        <v>124</v>
      </c>
      <c r="B7" s="11" t="s">
        <v>14</v>
      </c>
      <c r="C7" s="12" t="n">
        <v>920</v>
      </c>
      <c r="D7" s="13" t="n">
        <f aca="false">C7*100/SUM($C$7:$C$15)</f>
        <v>11.8358420172392</v>
      </c>
      <c r="E7" s="13" t="n">
        <f aca="false">C7*100/$B$1</f>
        <v>8.79036881330021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363.720930232558</v>
      </c>
      <c r="G7" s="13" t="n">
        <f aca="false">F7*100/$B$1</f>
        <v>3.47526208897915</v>
      </c>
    </row>
    <row r="8" customFormat="false" ht="15" hidden="false" customHeight="true" outlineLevel="0" collapsed="false">
      <c r="A8" s="11" t="s">
        <v>125</v>
      </c>
      <c r="B8" s="11" t="s">
        <v>14</v>
      </c>
      <c r="C8" s="12" t="n">
        <v>835</v>
      </c>
      <c r="D8" s="13" t="n">
        <f aca="false">C8*100/SUM($C$7:$C$15)</f>
        <v>10.7423131352116</v>
      </c>
      <c r="E8" s="13" t="n">
        <f aca="false">C8*100/$B$1</f>
        <v>7.97821517294095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330.116279069767</v>
      </c>
      <c r="G8" s="13" t="n">
        <f aca="false">F8*100/$B$1</f>
        <v>3.15417809162782</v>
      </c>
    </row>
    <row r="9" customFormat="false" ht="15" hidden="false" customHeight="true" outlineLevel="0" collapsed="false">
      <c r="A9" s="11" t="s">
        <v>126</v>
      </c>
      <c r="B9" s="11" t="s">
        <v>14</v>
      </c>
      <c r="C9" s="12" t="n">
        <v>759</v>
      </c>
      <c r="D9" s="13" t="n">
        <f aca="false">C9*100/SUM($C$7:$C$15)</f>
        <v>9.76456966422231</v>
      </c>
      <c r="E9" s="13" t="n">
        <f aca="false">C9*100/$B$1</f>
        <v>7.25205427097267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300.06976744186</v>
      </c>
      <c r="G9" s="13" t="n">
        <f aca="false">F9*100/$B$1</f>
        <v>2.8670912234078</v>
      </c>
    </row>
    <row r="10" customFormat="false" ht="15" hidden="false" customHeight="true" outlineLevel="0" collapsed="false">
      <c r="A10" s="18" t="s">
        <v>127</v>
      </c>
      <c r="B10" s="18" t="s">
        <v>59</v>
      </c>
      <c r="C10" s="19" t="n">
        <v>1455</v>
      </c>
      <c r="D10" s="20" t="n">
        <f aca="false">C10*100/SUM($C$7:$C$15)</f>
        <v>18.7186414511772</v>
      </c>
      <c r="E10" s="20" t="n">
        <f aca="false">C10*100/$B$1</f>
        <v>13.9021593732085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951.346153846154</v>
      </c>
      <c r="G10" s="13" t="n">
        <f aca="false">F10*100/$B$1</f>
        <v>9.08987343632862</v>
      </c>
    </row>
    <row r="11" customFormat="false" ht="15" hidden="false" customHeight="true" outlineLevel="0" collapsed="false">
      <c r="A11" s="18" t="s">
        <v>128</v>
      </c>
      <c r="B11" s="18" t="s">
        <v>59</v>
      </c>
      <c r="C11" s="19" t="n">
        <v>1448</v>
      </c>
      <c r="D11" s="20" t="n">
        <f aca="false">C11*100/SUM($C$7:$C$15)</f>
        <v>18.6285861314808</v>
      </c>
      <c r="E11" s="20" t="n">
        <f aca="false">C11*100/$B$1</f>
        <v>13.8352761322377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946.769230769231</v>
      </c>
      <c r="G11" s="13" t="n">
        <f aca="false">F11*100/$B$1</f>
        <v>9.04614208646313</v>
      </c>
    </row>
    <row r="12" customFormat="false" ht="15" hidden="false" customHeight="true" outlineLevel="0" collapsed="false">
      <c r="A12" s="18" t="s">
        <v>129</v>
      </c>
      <c r="B12" s="18" t="s">
        <v>59</v>
      </c>
      <c r="C12" s="19" t="n">
        <v>1430</v>
      </c>
      <c r="D12" s="20" t="n">
        <f aca="false">C12*100/SUM($C$7:$C$15)</f>
        <v>18.3970153094044</v>
      </c>
      <c r="E12" s="20" t="n">
        <f aca="false">C12*100/$B$1</f>
        <v>13.6632906554558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935</v>
      </c>
      <c r="G12" s="13" t="n">
        <f aca="false">F12*100/$B$1</f>
        <v>8.93369004395184</v>
      </c>
    </row>
    <row r="13" s="17" customFormat="true" ht="15" hidden="false" customHeight="true" outlineLevel="0" collapsed="false">
      <c r="A13" s="14" t="s">
        <v>130</v>
      </c>
      <c r="B13" s="14" t="s">
        <v>18</v>
      </c>
      <c r="C13" s="15" t="n">
        <v>431</v>
      </c>
      <c r="D13" s="16" t="n">
        <f aca="false">C13*100/SUM($C$7:$C$15)</f>
        <v>5.54483468416313</v>
      </c>
      <c r="E13" s="16" t="n">
        <f aca="false">C13*100/$B$1</f>
        <v>4.11809669405695</v>
      </c>
      <c r="F13" s="21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1023.625</v>
      </c>
      <c r="G13" s="22" t="n">
        <f aca="false">F13*100/$B$1</f>
        <v>9.78047964838525</v>
      </c>
    </row>
    <row r="14" customFormat="false" ht="15" hidden="false" customHeight="true" outlineLevel="0" collapsed="false">
      <c r="A14" s="11" t="s">
        <v>131</v>
      </c>
      <c r="B14" s="11" t="s">
        <v>20</v>
      </c>
      <c r="C14" s="12" t="n">
        <v>337</v>
      </c>
      <c r="D14" s="13" t="n">
        <f aca="false">C14*100/SUM($C$7:$C$15)</f>
        <v>4.33552039109739</v>
      </c>
      <c r="E14" s="13" t="n">
        <f aca="false">C14*100/$B$1</f>
        <v>3.21995031530671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471.8</v>
      </c>
      <c r="G14" s="13" t="n">
        <f aca="false">F14*100/$B$1</f>
        <v>4.50793044142939</v>
      </c>
    </row>
    <row r="15" customFormat="false" ht="15" hidden="false" customHeight="true" outlineLevel="0" collapsed="false">
      <c r="A15" s="11" t="s">
        <v>132</v>
      </c>
      <c r="B15" s="11" t="s">
        <v>81</v>
      </c>
      <c r="C15" s="12" t="n">
        <v>158</v>
      </c>
      <c r="D15" s="13" t="n">
        <f aca="false">C15*100/SUM($C$7:$C$15)</f>
        <v>2.03267721600412</v>
      </c>
      <c r="E15" s="13" t="n">
        <f aca="false">C15*100/$B$1</f>
        <v>1.50965029619721</v>
      </c>
      <c r="F15" s="12" t="n">
        <f aca="false">C15*IF(ISNUMBER(SEARCH("Labour",B15)),National!$L$4,IF(ISNUMBER(SEARCH("Conservative",B15)),National!$L$5,IF(OR(ISNUMBER(SEARCH("Reform",B15)),ISNUMBER(SEARCH("RefUK",B15))),National!$L$6,IF(ISNUMBER(SEARCH("Green",B15)),National!$L$7,IF(OR(ISNUMBER(SEARCH("Liberal Democrat",B15)),ISNUMBER(SEARCH("Lib Dem",B15))),National!$L$8,National!$L$9)))))</f>
        <v>180.571428571429</v>
      </c>
      <c r="G15" s="13" t="n">
        <f aca="false">F15*100/$B$1</f>
        <v>1.72531462422538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7309</v>
      </c>
    </row>
    <row r="2" customFormat="false" ht="30" hidden="false" customHeight="true" outlineLevel="0" collapsed="false">
      <c r="A2" s="2" t="s">
        <v>1</v>
      </c>
      <c r="B2" s="3" t="n">
        <v>2</v>
      </c>
      <c r="C2" s="3"/>
    </row>
    <row r="3" customFormat="false" ht="15" hidden="false" customHeight="true" outlineLevel="0" collapsed="false">
      <c r="A3" s="2" t="s">
        <v>2</v>
      </c>
      <c r="B3" s="4" t="n">
        <v>0.3222</v>
      </c>
    </row>
    <row r="4" customFormat="false" ht="15" hidden="false" customHeight="true" outlineLevel="0" collapsed="false">
      <c r="A4" s="2" t="s">
        <v>3</v>
      </c>
      <c r="B4" s="5" t="n">
        <v>12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1" t="s">
        <v>133</v>
      </c>
      <c r="B7" s="11" t="s">
        <v>14</v>
      </c>
      <c r="C7" s="12" t="n">
        <v>750</v>
      </c>
      <c r="D7" s="13" t="n">
        <f aca="false">C7*100/SUM($C$7:$C$14)</f>
        <v>17.1076642335766</v>
      </c>
      <c r="E7" s="13" t="n">
        <f aca="false">C7*100/$B$1</f>
        <v>10.2613216582296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296.511627906977</v>
      </c>
      <c r="G7" s="13" t="n">
        <f aca="false">F7*100/$B$1</f>
        <v>4.05680158581169</v>
      </c>
    </row>
    <row r="8" customFormat="false" ht="15" hidden="false" customHeight="true" outlineLevel="0" collapsed="false">
      <c r="A8" s="11" t="s">
        <v>134</v>
      </c>
      <c r="B8" s="11" t="s">
        <v>14</v>
      </c>
      <c r="C8" s="12" t="n">
        <v>498</v>
      </c>
      <c r="D8" s="13" t="n">
        <f aca="false">C8*100/SUM($C$7:$C$14)</f>
        <v>11.3594890510949</v>
      </c>
      <c r="E8" s="13" t="n">
        <f aca="false">C8*100/$B$1</f>
        <v>6.81351758106444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196.883720930233</v>
      </c>
      <c r="G8" s="13" t="n">
        <f aca="false">F8*100/$B$1</f>
        <v>2.69371625297897</v>
      </c>
    </row>
    <row r="9" customFormat="false" ht="15" hidden="false" customHeight="true" outlineLevel="0" collapsed="false">
      <c r="A9" s="18" t="s">
        <v>135</v>
      </c>
      <c r="B9" s="18" t="s">
        <v>59</v>
      </c>
      <c r="C9" s="19" t="n">
        <v>1177</v>
      </c>
      <c r="D9" s="20" t="n">
        <f aca="false">C9*100/SUM($C$7:$C$14)</f>
        <v>26.8476277372263</v>
      </c>
      <c r="E9" s="20" t="n">
        <f aca="false">C9*100/$B$1</f>
        <v>16.103434122315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769.576923076923</v>
      </c>
      <c r="G9" s="13" t="n">
        <f aca="false">F9*100/$B$1</f>
        <v>10.5291684645905</v>
      </c>
    </row>
    <row r="10" customFormat="false" ht="15" hidden="false" customHeight="true" outlineLevel="0" collapsed="false">
      <c r="A10" s="18" t="s">
        <v>136</v>
      </c>
      <c r="B10" s="18" t="s">
        <v>59</v>
      </c>
      <c r="C10" s="19" t="n">
        <v>1027</v>
      </c>
      <c r="D10" s="20" t="n">
        <f aca="false">C10*100/SUM($C$7:$C$14)</f>
        <v>23.426094890511</v>
      </c>
      <c r="E10" s="20" t="n">
        <f aca="false">C10*100/$B$1</f>
        <v>14.051169790669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671.5</v>
      </c>
      <c r="G10" s="13" t="n">
        <f aca="false">F10*100/$B$1</f>
        <v>9.18730332466822</v>
      </c>
    </row>
    <row r="11" s="17" customFormat="true" ht="27.75" hidden="false" customHeight="true" outlineLevel="0" collapsed="false">
      <c r="A11" s="14" t="s">
        <v>137</v>
      </c>
      <c r="B11" s="14" t="s">
        <v>18</v>
      </c>
      <c r="C11" s="15" t="n">
        <v>341</v>
      </c>
      <c r="D11" s="16" t="n">
        <f aca="false">C11*100/SUM($C$7:$C$14)</f>
        <v>7.77828467153285</v>
      </c>
      <c r="E11" s="16" t="n">
        <f aca="false">C11*100/$B$1</f>
        <v>4.66548091394172</v>
      </c>
      <c r="F11" s="21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809.875</v>
      </c>
      <c r="G11" s="22" t="n">
        <f aca="false">F11*100/$B$1</f>
        <v>11.0805171706116</v>
      </c>
    </row>
    <row r="12" customFormat="false" ht="15" hidden="false" customHeight="true" outlineLevel="0" collapsed="false">
      <c r="A12" s="11" t="s">
        <v>138</v>
      </c>
      <c r="B12" s="11" t="s">
        <v>20</v>
      </c>
      <c r="C12" s="12" t="n">
        <v>269</v>
      </c>
      <c r="D12" s="13" t="n">
        <f aca="false">C12*100/SUM($C$7:$C$14)</f>
        <v>6.13594890510949</v>
      </c>
      <c r="E12" s="13" t="n">
        <f aca="false">C12*100/$B$1</f>
        <v>3.68039403475168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376.6</v>
      </c>
      <c r="G12" s="13" t="n">
        <f aca="false">F12*100/$B$1</f>
        <v>5.15255164865235</v>
      </c>
    </row>
    <row r="13" customFormat="false" ht="27.75" hidden="false" customHeight="true" outlineLevel="0" collapsed="false">
      <c r="A13" s="11" t="s">
        <v>139</v>
      </c>
      <c r="B13" s="11" t="s">
        <v>24</v>
      </c>
      <c r="C13" s="12" t="n">
        <v>226</v>
      </c>
      <c r="D13" s="13" t="n">
        <f aca="false">C13*100/SUM($C$7:$C$14)</f>
        <v>5.1551094890511</v>
      </c>
      <c r="E13" s="13" t="n">
        <f aca="false">C13*100/$B$1</f>
        <v>3.09207825967985</v>
      </c>
      <c r="F13" s="12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258.285714285714</v>
      </c>
      <c r="G13" s="13" t="n">
        <f aca="false">F13*100/$B$1</f>
        <v>3.5338037253484</v>
      </c>
    </row>
    <row r="14" customFormat="false" ht="15" hidden="false" customHeight="true" outlineLevel="0" collapsed="false">
      <c r="A14" s="11" t="s">
        <v>140</v>
      </c>
      <c r="B14" s="11" t="s">
        <v>24</v>
      </c>
      <c r="C14" s="12" t="n">
        <v>96</v>
      </c>
      <c r="D14" s="13" t="n">
        <f aca="false">C14*100/SUM($C$7:$C$14)</f>
        <v>2.18978102189781</v>
      </c>
      <c r="E14" s="13" t="n">
        <f aca="false">C14*100/$B$1</f>
        <v>1.31344917225339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109.714285714286</v>
      </c>
      <c r="G14" s="13" t="n">
        <f aca="false">F14*100/$B$1</f>
        <v>1.50108476828958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9363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0.2815</v>
      </c>
    </row>
    <row r="4" customFormat="false" ht="15" hidden="false" customHeight="true" outlineLevel="0" collapsed="false">
      <c r="A4" s="2" t="s">
        <v>3</v>
      </c>
      <c r="B4" s="5" t="n">
        <v>6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8" t="s">
        <v>141</v>
      </c>
      <c r="B7" s="18" t="s">
        <v>27</v>
      </c>
      <c r="C7" s="19" t="n">
        <v>1658</v>
      </c>
      <c r="D7" s="20" t="n">
        <f aca="false">C7*100/SUM($C$7:$C$14)</f>
        <v>22.7061079156396</v>
      </c>
      <c r="E7" s="20" t="n">
        <f aca="false">C7*100/$B$1</f>
        <v>17.7079995727865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655.488372093023</v>
      </c>
      <c r="G7" s="13" t="n">
        <f aca="false">F7*100/$B$1</f>
        <v>7.00083704040396</v>
      </c>
    </row>
    <row r="8" customFormat="false" ht="15" hidden="false" customHeight="true" outlineLevel="0" collapsed="false">
      <c r="A8" s="18" t="s">
        <v>142</v>
      </c>
      <c r="B8" s="18" t="s">
        <v>27</v>
      </c>
      <c r="C8" s="19" t="n">
        <v>1517</v>
      </c>
      <c r="D8" s="20" t="n">
        <f aca="false">C8*100/SUM($C$7:$C$14)</f>
        <v>20.7751301013421</v>
      </c>
      <c r="E8" s="20" t="n">
        <f aca="false">C8*100/$B$1</f>
        <v>16.2020719854747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599.744186046512</v>
      </c>
      <c r="G8" s="13" t="n">
        <f aca="false">F8*100/$B$1</f>
        <v>6.40547031983885</v>
      </c>
    </row>
    <row r="9" customFormat="false" ht="15" hidden="false" customHeight="true" outlineLevel="0" collapsed="false">
      <c r="A9" s="18" t="s">
        <v>143</v>
      </c>
      <c r="B9" s="18" t="s">
        <v>27</v>
      </c>
      <c r="C9" s="19" t="n">
        <v>1347</v>
      </c>
      <c r="D9" s="20" t="n">
        <f aca="false">C9*100/SUM($C$7:$C$14)</f>
        <v>18.4470008216927</v>
      </c>
      <c r="E9" s="20" t="n">
        <f aca="false">C9*100/$B$1</f>
        <v>14.3864146107017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532.53488372093</v>
      </c>
      <c r="G9" s="13" t="n">
        <f aca="false">F9*100/$B$1</f>
        <v>5.68765228795183</v>
      </c>
    </row>
    <row r="10" customFormat="false" ht="15" hidden="false" customHeight="true" outlineLevel="0" collapsed="false">
      <c r="A10" s="11" t="s">
        <v>144</v>
      </c>
      <c r="B10" s="11" t="s">
        <v>16</v>
      </c>
      <c r="C10" s="12" t="n">
        <v>784</v>
      </c>
      <c r="D10" s="13" t="n">
        <f aca="false">C10*100/SUM($C$7:$C$14)</f>
        <v>10.7367844426185</v>
      </c>
      <c r="E10" s="13" t="n">
        <f aca="false">C10*100/$B$1</f>
        <v>8.37338459895333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512.615384615385</v>
      </c>
      <c r="G10" s="13" t="n">
        <f aca="false">F10*100/$B$1</f>
        <v>5.47490531470025</v>
      </c>
    </row>
    <row r="11" customFormat="false" ht="15" hidden="false" customHeight="true" outlineLevel="0" collapsed="false">
      <c r="A11" s="11" t="s">
        <v>145</v>
      </c>
      <c r="B11" s="11" t="s">
        <v>16</v>
      </c>
      <c r="C11" s="12" t="n">
        <v>755</v>
      </c>
      <c r="D11" s="13" t="n">
        <f aca="false">C11*100/SUM($C$7:$C$14)</f>
        <v>10.3396329772665</v>
      </c>
      <c r="E11" s="13" t="n">
        <f aca="false">C11*100/$B$1</f>
        <v>8.06365481149204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493.653846153846</v>
      </c>
      <c r="G11" s="13" t="n">
        <f aca="false">F11*100/$B$1</f>
        <v>5.27238968443711</v>
      </c>
    </row>
    <row r="12" customFormat="false" ht="15" hidden="false" customHeight="true" outlineLevel="0" collapsed="false">
      <c r="A12" s="11" t="s">
        <v>146</v>
      </c>
      <c r="B12" s="11" t="s">
        <v>16</v>
      </c>
      <c r="C12" s="12" t="n">
        <v>665</v>
      </c>
      <c r="D12" s="13" t="n">
        <f aca="false">C12*100/SUM($C$7:$C$14)</f>
        <v>9.10709394686387</v>
      </c>
      <c r="E12" s="13" t="n">
        <f aca="false">C12*100/$B$1</f>
        <v>7.1024244366122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434.807692307692</v>
      </c>
      <c r="G12" s="13" t="n">
        <f aca="false">F12*100/$B$1</f>
        <v>4.64389290086182</v>
      </c>
    </row>
    <row r="13" s="17" customFormat="true" ht="15" hidden="false" customHeight="true" outlineLevel="0" collapsed="false">
      <c r="A13" s="14" t="s">
        <v>147</v>
      </c>
      <c r="B13" s="14" t="s">
        <v>18</v>
      </c>
      <c r="C13" s="15" t="n">
        <v>370</v>
      </c>
      <c r="D13" s="16" t="n">
        <f aca="false">C13*100/SUM($C$7:$C$14)</f>
        <v>5.06710490276637</v>
      </c>
      <c r="E13" s="16" t="n">
        <f aca="false">C13*100/$B$1</f>
        <v>3.95172487450603</v>
      </c>
      <c r="F13" s="21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878.75</v>
      </c>
      <c r="G13" s="22" t="n">
        <f aca="false">F13*100/$B$1</f>
        <v>9.38534657695183</v>
      </c>
    </row>
    <row r="14" customFormat="false" ht="15" hidden="false" customHeight="true" outlineLevel="0" collapsed="false">
      <c r="A14" s="11" t="s">
        <v>148</v>
      </c>
      <c r="B14" s="11" t="s">
        <v>20</v>
      </c>
      <c r="C14" s="12" t="n">
        <v>206</v>
      </c>
      <c r="D14" s="13" t="n">
        <f aca="false">C14*100/SUM($C$7:$C$14)</f>
        <v>2.82114489181046</v>
      </c>
      <c r="E14" s="13" t="n">
        <f aca="false">C14*100/$B$1</f>
        <v>2.20014952472498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288.4</v>
      </c>
      <c r="G14" s="13" t="n">
        <f aca="false">F14*100/$B$1</f>
        <v>3.08020933461497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8651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0.389</v>
      </c>
    </row>
    <row r="4" customFormat="false" ht="15" hidden="false" customHeight="true" outlineLevel="0" collapsed="false">
      <c r="A4" s="2" t="s">
        <v>3</v>
      </c>
      <c r="B4" s="5" t="n">
        <v>47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27.75" hidden="false" customHeight="true" outlineLevel="0" collapsed="false">
      <c r="A7" s="18" t="s">
        <v>149</v>
      </c>
      <c r="B7" s="18" t="s">
        <v>27</v>
      </c>
      <c r="C7" s="19" t="n">
        <v>1807</v>
      </c>
      <c r="D7" s="20" t="n">
        <f aca="false">C7*100/SUM($C$7:$C$14)</f>
        <v>19.2931881272688</v>
      </c>
      <c r="E7" s="20" t="n">
        <f aca="false">C7*100/$B$1</f>
        <v>20.8877586406196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714.395348837209</v>
      </c>
      <c r="G7" s="13" t="n">
        <f aca="false">F7*100/$B$1</f>
        <v>8.25795109047751</v>
      </c>
    </row>
    <row r="8" customFormat="false" ht="15" hidden="false" customHeight="true" outlineLevel="0" collapsed="false">
      <c r="A8" s="18" t="s">
        <v>150</v>
      </c>
      <c r="B8" s="18" t="s">
        <v>27</v>
      </c>
      <c r="C8" s="19" t="n">
        <v>1670</v>
      </c>
      <c r="D8" s="20" t="n">
        <f aca="false">C8*100/SUM($C$7:$C$14)</f>
        <v>17.8304505658766</v>
      </c>
      <c r="E8" s="20" t="n">
        <f aca="false">C8*100/$B$1</f>
        <v>19.304126690556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660.232558139535</v>
      </c>
      <c r="G8" s="13" t="n">
        <f aca="false">F8*100/$B$1</f>
        <v>7.63186404045237</v>
      </c>
    </row>
    <row r="9" customFormat="false" ht="15" hidden="false" customHeight="true" outlineLevel="0" collapsed="false">
      <c r="A9" s="18" t="s">
        <v>151</v>
      </c>
      <c r="B9" s="18" t="s">
        <v>27</v>
      </c>
      <c r="C9" s="19" t="n">
        <v>1624</v>
      </c>
      <c r="D9" s="20" t="n">
        <f aca="false">C9*100/SUM($C$7:$C$14)</f>
        <v>17.339312406577</v>
      </c>
      <c r="E9" s="20" t="n">
        <f aca="false">C9*100/$B$1</f>
        <v>18.7723962547682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642.046511627907</v>
      </c>
      <c r="G9" s="13" t="n">
        <f aca="false">F9*100/$B$1</f>
        <v>7.42164503095488</v>
      </c>
    </row>
    <row r="10" customFormat="false" ht="15" hidden="false" customHeight="true" outlineLevel="0" collapsed="false">
      <c r="A10" s="11" t="s">
        <v>152</v>
      </c>
      <c r="B10" s="11" t="s">
        <v>16</v>
      </c>
      <c r="C10" s="12" t="n">
        <v>1336</v>
      </c>
      <c r="D10" s="13" t="n">
        <f aca="false">C10*100/SUM($C$7:$C$14)</f>
        <v>14.2643604527013</v>
      </c>
      <c r="E10" s="13" t="n">
        <f aca="false">C10*100/$B$1</f>
        <v>15.4433013524448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873.538461538462</v>
      </c>
      <c r="G10" s="13" t="n">
        <f aca="false">F10*100/$B$1</f>
        <v>10.0975431919831</v>
      </c>
    </row>
    <row r="11" customFormat="false" ht="27.75" hidden="false" customHeight="true" outlineLevel="0" collapsed="false">
      <c r="A11" s="11" t="s">
        <v>153</v>
      </c>
      <c r="B11" s="11" t="s">
        <v>16</v>
      </c>
      <c r="C11" s="12" t="n">
        <v>1080</v>
      </c>
      <c r="D11" s="13" t="n">
        <f aca="false">C11*100/SUM($C$7:$C$14)</f>
        <v>11.531069827034</v>
      </c>
      <c r="E11" s="13" t="n">
        <f aca="false">C11*100/$B$1</f>
        <v>12.4841058837129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706.153846153846</v>
      </c>
      <c r="G11" s="13" t="n">
        <f aca="false">F11*100/$B$1</f>
        <v>8.1626846162738</v>
      </c>
    </row>
    <row r="12" customFormat="false" ht="27.75" hidden="false" customHeight="true" outlineLevel="0" collapsed="false">
      <c r="A12" s="11" t="s">
        <v>154</v>
      </c>
      <c r="B12" s="11" t="s">
        <v>16</v>
      </c>
      <c r="C12" s="12" t="n">
        <v>1010</v>
      </c>
      <c r="D12" s="13" t="n">
        <f aca="false">C12*100/SUM($C$7:$C$14)</f>
        <v>10.783685671578</v>
      </c>
      <c r="E12" s="13" t="n">
        <f aca="false">C12*100/$B$1</f>
        <v>11.6749508727315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660.384615384615</v>
      </c>
      <c r="G12" s="13" t="n">
        <f aca="false">F12*100/$B$1</f>
        <v>7.63362172447827</v>
      </c>
    </row>
    <row r="13" s="17" customFormat="true" ht="15" hidden="false" customHeight="true" outlineLevel="0" collapsed="false">
      <c r="A13" s="14" t="s">
        <v>155</v>
      </c>
      <c r="B13" s="14" t="s">
        <v>18</v>
      </c>
      <c r="C13" s="15" t="n">
        <v>536</v>
      </c>
      <c r="D13" s="16" t="n">
        <f aca="false">C13*100/SUM($C$7:$C$14)</f>
        <v>5.72282724749092</v>
      </c>
      <c r="E13" s="16" t="n">
        <f aca="false">C13*100/$B$1</f>
        <v>6.1958155126575</v>
      </c>
      <c r="F13" s="21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1273</v>
      </c>
      <c r="G13" s="22" t="n">
        <f aca="false">F13*100/$B$1</f>
        <v>14.7150618425616</v>
      </c>
    </row>
    <row r="14" customFormat="false" ht="15" hidden="false" customHeight="true" outlineLevel="0" collapsed="false">
      <c r="A14" s="11" t="s">
        <v>156</v>
      </c>
      <c r="B14" s="11" t="s">
        <v>20</v>
      </c>
      <c r="C14" s="12" t="n">
        <v>303</v>
      </c>
      <c r="D14" s="13" t="n">
        <f aca="false">C14*100/SUM($C$7:$C$14)</f>
        <v>3.23510570147341</v>
      </c>
      <c r="E14" s="13" t="n">
        <f aca="false">C14*100/$B$1</f>
        <v>3.50248526181944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424.2</v>
      </c>
      <c r="G14" s="13" t="n">
        <f aca="false">F14*100/$B$1</f>
        <v>4.90347936654722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3284</v>
      </c>
    </row>
    <row r="2" customFormat="false" ht="30" hidden="false" customHeight="true" outlineLevel="0" collapsed="false">
      <c r="A2" s="2" t="s">
        <v>1</v>
      </c>
      <c r="B2" s="3" t="n">
        <v>1</v>
      </c>
      <c r="C2" s="3"/>
    </row>
    <row r="3" customFormat="false" ht="15" hidden="false" customHeight="true" outlineLevel="0" collapsed="false">
      <c r="A3" s="2" t="s">
        <v>2</v>
      </c>
      <c r="B3" s="4" t="n">
        <v>0.3276</v>
      </c>
    </row>
    <row r="4" customFormat="false" ht="15" hidden="false" customHeight="true" outlineLevel="0" collapsed="false">
      <c r="A4" s="2" t="s">
        <v>3</v>
      </c>
      <c r="B4" s="5" t="n">
        <v>3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1" t="s">
        <v>157</v>
      </c>
      <c r="B7" s="11" t="s">
        <v>14</v>
      </c>
      <c r="C7" s="12" t="n">
        <v>224</v>
      </c>
      <c r="D7" s="13" t="n">
        <f aca="false">C7*100/SUM($C$7:$C$10)</f>
        <v>20.8760484622554</v>
      </c>
      <c r="E7" s="13" t="n">
        <f aca="false">C7*100/$B$1</f>
        <v>6.82095006090134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88.5581395348837</v>
      </c>
      <c r="G7" s="13" t="n">
        <f aca="false">F7*100/$B$1</f>
        <v>2.69665467524006</v>
      </c>
    </row>
    <row r="8" customFormat="false" ht="15" hidden="false" customHeight="true" outlineLevel="0" collapsed="false">
      <c r="A8" s="18" t="s">
        <v>158</v>
      </c>
      <c r="B8" s="18" t="s">
        <v>16</v>
      </c>
      <c r="C8" s="19" t="n">
        <v>479</v>
      </c>
      <c r="D8" s="20" t="n">
        <f aca="false">C8*100/SUM($C$7:$C$10)</f>
        <v>44.641192917055</v>
      </c>
      <c r="E8" s="20" t="n">
        <f aca="false">C8*100/$B$1</f>
        <v>14.5858708891596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313.192307692308</v>
      </c>
      <c r="G8" s="13" t="n">
        <f aca="false">F8*100/$B$1</f>
        <v>9.53691558137356</v>
      </c>
    </row>
    <row r="9" s="17" customFormat="true" ht="15" hidden="false" customHeight="true" outlineLevel="0" collapsed="false">
      <c r="A9" s="14" t="s">
        <v>159</v>
      </c>
      <c r="B9" s="14" t="s">
        <v>18</v>
      </c>
      <c r="C9" s="15" t="n">
        <v>47</v>
      </c>
      <c r="D9" s="16" t="n">
        <f aca="false">C9*100/SUM($C$7:$C$10)</f>
        <v>4.38024231127679</v>
      </c>
      <c r="E9" s="16" t="n">
        <f aca="false">C9*100/$B$1</f>
        <v>1.43118148599269</v>
      </c>
      <c r="F9" s="15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111.625</v>
      </c>
      <c r="G9" s="16" t="n">
        <f aca="false">F9*100/$B$1</f>
        <v>3.39905602923264</v>
      </c>
    </row>
    <row r="10" customFormat="false" ht="15" hidden="false" customHeight="true" outlineLevel="0" collapsed="false">
      <c r="A10" s="11" t="s">
        <v>160</v>
      </c>
      <c r="B10" s="11" t="s">
        <v>20</v>
      </c>
      <c r="C10" s="12" t="n">
        <v>323</v>
      </c>
      <c r="D10" s="13" t="n">
        <f aca="false">C10*100/SUM($C$7:$C$10)</f>
        <v>30.1025163094129</v>
      </c>
      <c r="E10" s="13" t="n">
        <f aca="false">C10*100/$B$1</f>
        <v>9.83556638246041</v>
      </c>
      <c r="F10" s="19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452.2</v>
      </c>
      <c r="G10" s="20" t="n">
        <f aca="false">F10*100/$B$1</f>
        <v>13.7697929354446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10418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0.319</v>
      </c>
    </row>
    <row r="4" customFormat="false" ht="15" hidden="false" customHeight="true" outlineLevel="0" collapsed="false">
      <c r="A4" s="2" t="s">
        <v>3</v>
      </c>
      <c r="B4" s="5" t="n">
        <v>16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8" t="s">
        <v>161</v>
      </c>
      <c r="B7" s="18" t="s">
        <v>27</v>
      </c>
      <c r="C7" s="19" t="n">
        <v>1774</v>
      </c>
      <c r="D7" s="20" t="n">
        <f aca="false">C7*100/SUM($C$7:$C$15)</f>
        <v>18.8362709704821</v>
      </c>
      <c r="E7" s="20" t="n">
        <f aca="false">C7*100/$B$1</f>
        <v>17.0282203877904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701.348837209302</v>
      </c>
      <c r="G7" s="13" t="n">
        <f aca="false">F7*100/$B$1</f>
        <v>6.73208713005666</v>
      </c>
    </row>
    <row r="8" customFormat="false" ht="15" hidden="false" customHeight="true" outlineLevel="0" collapsed="false">
      <c r="A8" s="18" t="s">
        <v>162</v>
      </c>
      <c r="B8" s="18" t="s">
        <v>27</v>
      </c>
      <c r="C8" s="19" t="n">
        <v>1758</v>
      </c>
      <c r="D8" s="20" t="n">
        <f aca="false">C8*100/SUM($C$7:$C$15)</f>
        <v>18.6663835209174</v>
      </c>
      <c r="E8" s="20" t="n">
        <f aca="false">C8*100/$B$1</f>
        <v>16.8746400460741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695.023255813954</v>
      </c>
      <c r="G8" s="13" t="n">
        <f aca="false">F8*100/$B$1</f>
        <v>6.67136932054092</v>
      </c>
    </row>
    <row r="9" customFormat="false" ht="15" hidden="false" customHeight="true" outlineLevel="0" collapsed="false">
      <c r="A9" s="18" t="s">
        <v>163</v>
      </c>
      <c r="B9" s="18" t="s">
        <v>27</v>
      </c>
      <c r="C9" s="19" t="n">
        <v>1682</v>
      </c>
      <c r="D9" s="20" t="n">
        <f aca="false">C9*100/SUM($C$7:$C$15)</f>
        <v>17.8594181354852</v>
      </c>
      <c r="E9" s="20" t="n">
        <f aca="false">C9*100/$B$1</f>
        <v>16.1451334229219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664.976744186047</v>
      </c>
      <c r="G9" s="13" t="n">
        <f aca="false">F9*100/$B$1</f>
        <v>6.3829597253412</v>
      </c>
    </row>
    <row r="10" customFormat="false" ht="15" hidden="false" customHeight="true" outlineLevel="0" collapsed="false">
      <c r="A10" s="11" t="s">
        <v>164</v>
      </c>
      <c r="B10" s="11" t="s">
        <v>16</v>
      </c>
      <c r="C10" s="12" t="n">
        <v>1202</v>
      </c>
      <c r="D10" s="13" t="n">
        <f aca="false">C10*100/SUM($C$7:$C$15)</f>
        <v>12.7627946485453</v>
      </c>
      <c r="E10" s="13" t="n">
        <f aca="false">C10*100/$B$1</f>
        <v>11.5377231714341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785.923076923077</v>
      </c>
      <c r="G10" s="13" t="n">
        <f aca="false">F10*100/$B$1</f>
        <v>7.54389591978381</v>
      </c>
    </row>
    <row r="11" customFormat="false" ht="15" hidden="false" customHeight="true" outlineLevel="0" collapsed="false">
      <c r="A11" s="11" t="s">
        <v>165</v>
      </c>
      <c r="B11" s="11" t="s">
        <v>16</v>
      </c>
      <c r="C11" s="12" t="n">
        <v>1078</v>
      </c>
      <c r="D11" s="13" t="n">
        <f aca="false">C11*100/SUM($C$7:$C$15)</f>
        <v>11.4461669144192</v>
      </c>
      <c r="E11" s="13" t="n">
        <f aca="false">C11*100/$B$1</f>
        <v>10.347475523133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704.846153846154</v>
      </c>
      <c r="G11" s="13" t="n">
        <f aca="false">F11*100/$B$1</f>
        <v>6.76565707281776</v>
      </c>
    </row>
    <row r="12" customFormat="false" ht="27.75" hidden="false" customHeight="true" outlineLevel="0" collapsed="false">
      <c r="A12" s="11" t="s">
        <v>166</v>
      </c>
      <c r="B12" s="11" t="s">
        <v>16</v>
      </c>
      <c r="C12" s="12" t="n">
        <v>1069</v>
      </c>
      <c r="D12" s="13" t="n">
        <f aca="false">C12*100/SUM($C$7:$C$15)</f>
        <v>11.3506052240391</v>
      </c>
      <c r="E12" s="13" t="n">
        <f aca="false">C12*100/$B$1</f>
        <v>10.2610865809176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698.961538461539</v>
      </c>
      <c r="G12" s="13" t="n">
        <f aca="false">F12*100/$B$1</f>
        <v>6.70917199521538</v>
      </c>
    </row>
    <row r="13" s="17" customFormat="true" ht="15" hidden="false" customHeight="true" outlineLevel="0" collapsed="false">
      <c r="A13" s="14" t="s">
        <v>167</v>
      </c>
      <c r="B13" s="14" t="s">
        <v>18</v>
      </c>
      <c r="C13" s="15" t="n">
        <v>393</v>
      </c>
      <c r="D13" s="16" t="n">
        <f aca="false">C13*100/SUM($C$7:$C$15)</f>
        <v>4.17286047993205</v>
      </c>
      <c r="E13" s="16" t="n">
        <f aca="false">C13*100/$B$1</f>
        <v>3.77231714340564</v>
      </c>
      <c r="F13" s="21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933.375</v>
      </c>
      <c r="G13" s="22" t="n">
        <f aca="false">F13*100/$B$1</f>
        <v>8.9592532155884</v>
      </c>
    </row>
    <row r="14" customFormat="false" ht="15" hidden="false" customHeight="true" outlineLevel="0" collapsed="false">
      <c r="A14" s="11" t="s">
        <v>168</v>
      </c>
      <c r="B14" s="11" t="s">
        <v>20</v>
      </c>
      <c r="C14" s="12" t="n">
        <v>245</v>
      </c>
      <c r="D14" s="13" t="n">
        <f aca="false">C14*100/SUM($C$7:$C$15)</f>
        <v>2.60140157145891</v>
      </c>
      <c r="E14" s="13" t="n">
        <f aca="false">C14*100/$B$1</f>
        <v>2.35169898253024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343</v>
      </c>
      <c r="G14" s="13" t="n">
        <f aca="false">F14*100/$B$1</f>
        <v>3.29237857554233</v>
      </c>
    </row>
    <row r="15" customFormat="false" ht="15" hidden="false" customHeight="true" outlineLevel="0" collapsed="false">
      <c r="A15" s="11" t="s">
        <v>169</v>
      </c>
      <c r="B15" s="11" t="s">
        <v>170</v>
      </c>
      <c r="C15" s="12" t="n">
        <v>217</v>
      </c>
      <c r="D15" s="13" t="n">
        <f aca="false">C15*100/SUM($C$7:$C$15)</f>
        <v>2.30409853472075</v>
      </c>
      <c r="E15" s="13" t="n">
        <f aca="false">C15*100/$B$1</f>
        <v>2.08293338452678</v>
      </c>
      <c r="F15" s="12" t="n">
        <f aca="false">C15*IF(ISNUMBER(SEARCH("Labour",B15)),National!$L$4,IF(ISNUMBER(SEARCH("Conservative",B15)),National!$L$5,IF(OR(ISNUMBER(SEARCH("Reform",B15)),ISNUMBER(SEARCH("RefUK",B15))),National!$L$6,IF(ISNUMBER(SEARCH("Green",B15)),National!$L$7,IF(OR(ISNUMBER(SEARCH("Liberal Democrat",B15)),ISNUMBER(SEARCH("Lib Dem",B15))),National!$L$8,National!$L$9)))))</f>
        <v>248</v>
      </c>
      <c r="G15" s="13" t="n">
        <f aca="false">F15*100/$B$1</f>
        <v>2.38049529660203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97D"/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10218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0.2791</v>
      </c>
    </row>
    <row r="4" customFormat="false" ht="15" hidden="false" customHeight="true" outlineLevel="0" collapsed="false">
      <c r="A4" s="2" t="s">
        <v>3</v>
      </c>
      <c r="B4" s="5" t="n">
        <v>51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1" t="s">
        <v>171</v>
      </c>
      <c r="B7" s="11" t="s">
        <v>14</v>
      </c>
      <c r="C7" s="12" t="n">
        <v>849</v>
      </c>
      <c r="D7" s="13" t="n">
        <f aca="false">C7*100/SUM($C$7:$C$16)</f>
        <v>10.7823215646431</v>
      </c>
      <c r="E7" s="13" t="n">
        <f aca="false">C7*100/$B$1</f>
        <v>8.30886670581327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335.651162790698</v>
      </c>
      <c r="G7" s="13" t="n">
        <f aca="false">F7*100/$B$1</f>
        <v>3.28490079067036</v>
      </c>
    </row>
    <row r="8" customFormat="false" ht="15" hidden="false" customHeight="true" outlineLevel="0" collapsed="false">
      <c r="A8" s="11" t="s">
        <v>172</v>
      </c>
      <c r="B8" s="11" t="s">
        <v>14</v>
      </c>
      <c r="C8" s="12" t="n">
        <v>786</v>
      </c>
      <c r="D8" s="13" t="n">
        <f aca="false">C8*100/SUM($C$7:$C$16)</f>
        <v>9.98221996443993</v>
      </c>
      <c r="E8" s="13" t="n">
        <f aca="false">C8*100/$B$1</f>
        <v>7.69230769230769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310.744186046512</v>
      </c>
      <c r="G8" s="13" t="n">
        <f aca="false">F8*100/$B$1</f>
        <v>3.04114490161002</v>
      </c>
    </row>
    <row r="9" customFormat="false" ht="15" hidden="false" customHeight="true" outlineLevel="0" collapsed="false">
      <c r="A9" s="11" t="s">
        <v>173</v>
      </c>
      <c r="B9" s="11" t="s">
        <v>14</v>
      </c>
      <c r="C9" s="12" t="n">
        <v>742</v>
      </c>
      <c r="D9" s="13" t="n">
        <f aca="false">C9*100/SUM($C$7:$C$16)</f>
        <v>9.42341884683769</v>
      </c>
      <c r="E9" s="13" t="n">
        <f aca="false">C9*100/$B$1</f>
        <v>7.26169504795459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293.348837209302</v>
      </c>
      <c r="G9" s="13" t="n">
        <f aca="false">F9*100/$B$1</f>
        <v>2.8709026933774</v>
      </c>
    </row>
    <row r="10" customFormat="false" ht="15" hidden="false" customHeight="true" outlineLevel="0" collapsed="false">
      <c r="A10" s="18" t="s">
        <v>174</v>
      </c>
      <c r="B10" s="18" t="s">
        <v>16</v>
      </c>
      <c r="C10" s="19" t="n">
        <v>1458</v>
      </c>
      <c r="D10" s="20" t="n">
        <f aca="false">C10*100/SUM($C$7:$C$16)</f>
        <v>18.5166370332741</v>
      </c>
      <c r="E10" s="20" t="n">
        <f aca="false">C10*100/$B$1</f>
        <v>14.2689371697005</v>
      </c>
      <c r="F10" s="19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953.307692307692</v>
      </c>
      <c r="G10" s="20" t="n">
        <f aca="false">F10*100/$B$1</f>
        <v>9.32968968788111</v>
      </c>
    </row>
    <row r="11" customFormat="false" ht="15" hidden="false" customHeight="true" outlineLevel="0" collapsed="false">
      <c r="A11" s="18" t="s">
        <v>175</v>
      </c>
      <c r="B11" s="18" t="s">
        <v>16</v>
      </c>
      <c r="C11" s="19" t="n">
        <v>1446</v>
      </c>
      <c r="D11" s="20" t="n">
        <f aca="false">C11*100/SUM($C$7:$C$16)</f>
        <v>18.3642367284735</v>
      </c>
      <c r="E11" s="20" t="n">
        <f aca="false">C11*100/$B$1</f>
        <v>14.1514973576042</v>
      </c>
      <c r="F11" s="19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945.461538461539</v>
      </c>
      <c r="G11" s="20" t="n">
        <f aca="false">F11*100/$B$1</f>
        <v>9.25290211843353</v>
      </c>
    </row>
    <row r="12" customFormat="false" ht="15" hidden="false" customHeight="true" outlineLevel="0" collapsed="false">
      <c r="A12" s="18" t="s">
        <v>176</v>
      </c>
      <c r="B12" s="18" t="s">
        <v>16</v>
      </c>
      <c r="C12" s="19" t="n">
        <v>1409</v>
      </c>
      <c r="D12" s="20" t="n">
        <f aca="false">C12*100/SUM($C$7:$C$16)</f>
        <v>17.8943357886716</v>
      </c>
      <c r="E12" s="20" t="n">
        <f aca="false">C12*100/$B$1</f>
        <v>13.7893912703073</v>
      </c>
      <c r="F12" s="19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921.269230769231</v>
      </c>
      <c r="G12" s="20" t="n">
        <f aca="false">F12*100/$B$1</f>
        <v>9.01614044597016</v>
      </c>
    </row>
    <row r="13" s="17" customFormat="true" ht="15" hidden="false" customHeight="true" outlineLevel="0" collapsed="false">
      <c r="A13" s="14" t="s">
        <v>177</v>
      </c>
      <c r="B13" s="14" t="s">
        <v>18</v>
      </c>
      <c r="C13" s="15" t="n">
        <v>379</v>
      </c>
      <c r="D13" s="16" t="n">
        <f aca="false">C13*100/SUM($C$7:$C$16)</f>
        <v>4.81330962661925</v>
      </c>
      <c r="E13" s="16" t="n">
        <f aca="false">C13*100/$B$1</f>
        <v>3.7091407320415</v>
      </c>
      <c r="F13" s="15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900.125</v>
      </c>
      <c r="G13" s="16" t="n">
        <f aca="false">F13*100/$B$1</f>
        <v>8.80920923859855</v>
      </c>
    </row>
    <row r="14" customFormat="false" ht="15" hidden="false" customHeight="true" outlineLevel="0" collapsed="false">
      <c r="A14" s="11" t="s">
        <v>178</v>
      </c>
      <c r="B14" s="11" t="s">
        <v>20</v>
      </c>
      <c r="C14" s="12" t="n">
        <v>304</v>
      </c>
      <c r="D14" s="13" t="n">
        <f aca="false">C14*100/SUM($C$7:$C$16)</f>
        <v>3.86080772161544</v>
      </c>
      <c r="E14" s="13" t="n">
        <f aca="false">C14*100/$B$1</f>
        <v>2.97514190643962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425.6</v>
      </c>
      <c r="G14" s="13" t="n">
        <f aca="false">F14*100/$B$1</f>
        <v>4.16519866901546</v>
      </c>
    </row>
    <row r="15" customFormat="false" ht="15" hidden="false" customHeight="true" outlineLevel="0" collapsed="false">
      <c r="A15" s="11" t="s">
        <v>179</v>
      </c>
      <c r="B15" s="11" t="s">
        <v>20</v>
      </c>
      <c r="C15" s="12" t="n">
        <v>282</v>
      </c>
      <c r="D15" s="13" t="n">
        <f aca="false">C15*100/SUM($C$7:$C$16)</f>
        <v>3.58140716281433</v>
      </c>
      <c r="E15" s="13" t="n">
        <f aca="false">C15*100/$B$1</f>
        <v>2.75983558426307</v>
      </c>
      <c r="F15" s="12" t="n">
        <f aca="false">C15*IF(ISNUMBER(SEARCH("Labour",B15)),National!$L$4,IF(ISNUMBER(SEARCH("Conservative",B15)),National!$L$5,IF(OR(ISNUMBER(SEARCH("Reform",B15)),ISNUMBER(SEARCH("RefUK",B15))),National!$L$6,IF(ISNUMBER(SEARCH("Green",B15)),National!$L$7,IF(OR(ISNUMBER(SEARCH("Liberal Democrat",B15)),ISNUMBER(SEARCH("Lib Dem",B15))),National!$L$8,National!$L$9)))))</f>
        <v>394.8</v>
      </c>
      <c r="G15" s="13" t="n">
        <f aca="false">F15*100/$B$1</f>
        <v>3.86376981796829</v>
      </c>
    </row>
    <row r="16" customFormat="false" ht="15" hidden="false" customHeight="true" outlineLevel="0" collapsed="false">
      <c r="A16" s="11" t="s">
        <v>180</v>
      </c>
      <c r="B16" s="11" t="s">
        <v>20</v>
      </c>
      <c r="C16" s="12" t="n">
        <v>219</v>
      </c>
      <c r="D16" s="13" t="n">
        <f aca="false">C16*100/SUM($C$7:$C$16)</f>
        <v>2.78130556261113</v>
      </c>
      <c r="E16" s="13" t="n">
        <f aca="false">C16*100/$B$1</f>
        <v>2.14327657075749</v>
      </c>
      <c r="F16" s="12" t="n">
        <f aca="false">C16*IF(ISNUMBER(SEARCH("Labour",B16)),National!$L$4,IF(ISNUMBER(SEARCH("Conservative",B16)),National!$L$5,IF(OR(ISNUMBER(SEARCH("Reform",B16)),ISNUMBER(SEARCH("RefUK",B16))),National!$L$6,IF(ISNUMBER(SEARCH("Green",B16)),National!$L$7,IF(OR(ISNUMBER(SEARCH("Liberal Democrat",B16)),ISNUMBER(SEARCH("Lib Dem",B16))),National!$L$8,National!$L$9)))))</f>
        <v>306.6</v>
      </c>
      <c r="G16" s="13" t="n">
        <f aca="false">F16*100/$B$1</f>
        <v>3.00058719906048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97D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10150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0.2617</v>
      </c>
    </row>
    <row r="4" customFormat="false" ht="15" hidden="false" customHeight="true" outlineLevel="0" collapsed="false">
      <c r="A4" s="2" t="s">
        <v>3</v>
      </c>
      <c r="B4" s="5" t="n">
        <v>27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8" t="s">
        <v>181</v>
      </c>
      <c r="B7" s="18" t="s">
        <v>27</v>
      </c>
      <c r="C7" s="19" t="n">
        <v>1338</v>
      </c>
      <c r="D7" s="20" t="n">
        <f aca="false">C7*100/SUM($C$7:$C$15)</f>
        <v>18.1448331977217</v>
      </c>
      <c r="E7" s="20" t="n">
        <f aca="false">C7*100/$B$1</f>
        <v>13.1822660098522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528.976744186047</v>
      </c>
      <c r="G7" s="13" t="n">
        <f aca="false">F7*100/$B$1</f>
        <v>5.21159353877878</v>
      </c>
    </row>
    <row r="8" customFormat="false" ht="15" hidden="false" customHeight="true" outlineLevel="0" collapsed="false">
      <c r="A8" s="18" t="s">
        <v>182</v>
      </c>
      <c r="B8" s="18" t="s">
        <v>27</v>
      </c>
      <c r="C8" s="19" t="n">
        <v>1291</v>
      </c>
      <c r="D8" s="20" t="n">
        <f aca="false">C8*100/SUM($C$7:$C$15)</f>
        <v>17.5074586384595</v>
      </c>
      <c r="E8" s="20" t="n">
        <f aca="false">C8*100/$B$1</f>
        <v>12.7192118226601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510.395348837209</v>
      </c>
      <c r="G8" s="13" t="n">
        <f aca="false">F8*100/$B$1</f>
        <v>5.02852560430748</v>
      </c>
    </row>
    <row r="9" customFormat="false" ht="15" hidden="false" customHeight="true" outlineLevel="0" collapsed="false">
      <c r="A9" s="18" t="s">
        <v>183</v>
      </c>
      <c r="B9" s="18" t="s">
        <v>27</v>
      </c>
      <c r="C9" s="19" t="n">
        <v>1236</v>
      </c>
      <c r="D9" s="20" t="n">
        <f aca="false">C9*100/SUM($C$7:$C$15)</f>
        <v>16.7615947925142</v>
      </c>
      <c r="E9" s="20" t="n">
        <f aca="false">C9*100/$B$1</f>
        <v>12.1773399014778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488.651162790698</v>
      </c>
      <c r="G9" s="13" t="n">
        <f aca="false">F9*100/$B$1</f>
        <v>4.8142971703517</v>
      </c>
    </row>
    <row r="10" customFormat="false" ht="27.75" hidden="false" customHeight="true" outlineLevel="0" collapsed="false">
      <c r="A10" s="11" t="s">
        <v>184</v>
      </c>
      <c r="B10" s="11" t="s">
        <v>16</v>
      </c>
      <c r="C10" s="12" t="n">
        <v>991</v>
      </c>
      <c r="D10" s="13" t="n">
        <f aca="false">C10*100/SUM($C$7:$C$15)</f>
        <v>13.4391103878492</v>
      </c>
      <c r="E10" s="13" t="n">
        <f aca="false">C10*100/$B$1</f>
        <v>9.76354679802956</v>
      </c>
      <c r="F10" s="19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647.961538461539</v>
      </c>
      <c r="G10" s="20" t="n">
        <f aca="false">F10*100/$B$1</f>
        <v>6.38385752178856</v>
      </c>
    </row>
    <row r="11" customFormat="false" ht="27.75" hidden="false" customHeight="true" outlineLevel="0" collapsed="false">
      <c r="A11" s="11" t="s">
        <v>185</v>
      </c>
      <c r="B11" s="11" t="s">
        <v>16</v>
      </c>
      <c r="C11" s="12" t="n">
        <v>972</v>
      </c>
      <c r="D11" s="13" t="n">
        <f aca="false">C11*100/SUM($C$7:$C$15)</f>
        <v>13.1814483319772</v>
      </c>
      <c r="E11" s="13" t="n">
        <f aca="false">C11*100/$B$1</f>
        <v>9.57635467980296</v>
      </c>
      <c r="F11" s="19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635.538461538462</v>
      </c>
      <c r="G11" s="20" t="n">
        <f aca="false">F11*100/$B$1</f>
        <v>6.26146267525578</v>
      </c>
    </row>
    <row r="12" customFormat="false" ht="27.75" hidden="false" customHeight="true" outlineLevel="0" collapsed="false">
      <c r="A12" s="11" t="s">
        <v>186</v>
      </c>
      <c r="B12" s="11" t="s">
        <v>16</v>
      </c>
      <c r="C12" s="12" t="n">
        <v>970</v>
      </c>
      <c r="D12" s="13" t="n">
        <f aca="false">C12*100/SUM($C$7:$C$15)</f>
        <v>13.1543260103065</v>
      </c>
      <c r="E12" s="13" t="n">
        <f aca="false">C12*100/$B$1</f>
        <v>9.55665024630542</v>
      </c>
      <c r="F12" s="19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634.230769230769</v>
      </c>
      <c r="G12" s="20" t="n">
        <f aca="false">F12*100/$B$1</f>
        <v>6.2485790071997</v>
      </c>
    </row>
    <row r="13" s="17" customFormat="true" ht="15" hidden="false" customHeight="true" outlineLevel="0" collapsed="false">
      <c r="A13" s="14" t="s">
        <v>187</v>
      </c>
      <c r="B13" s="14" t="s">
        <v>18</v>
      </c>
      <c r="C13" s="15" t="n">
        <v>262</v>
      </c>
      <c r="D13" s="16" t="n">
        <f aca="false">C13*100/SUM($C$7:$C$15)</f>
        <v>3.55302413886629</v>
      </c>
      <c r="E13" s="16" t="n">
        <f aca="false">C13*100/$B$1</f>
        <v>2.58128078817734</v>
      </c>
      <c r="F13" s="15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622.25</v>
      </c>
      <c r="G13" s="16" t="n">
        <f aca="false">F13*100/$B$1</f>
        <v>6.13054187192118</v>
      </c>
    </row>
    <row r="14" customFormat="false" ht="15" hidden="false" customHeight="true" outlineLevel="0" collapsed="false">
      <c r="A14" s="11" t="s">
        <v>188</v>
      </c>
      <c r="B14" s="11" t="s">
        <v>20</v>
      </c>
      <c r="C14" s="12" t="n">
        <v>159</v>
      </c>
      <c r="D14" s="13" t="n">
        <f aca="false">C14*100/SUM($C$7:$C$15)</f>
        <v>2.15622457282343</v>
      </c>
      <c r="E14" s="13" t="n">
        <f aca="false">C14*100/$B$1</f>
        <v>1.56650246305419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222.6</v>
      </c>
      <c r="G14" s="13" t="n">
        <f aca="false">F14*100/$B$1</f>
        <v>2.19310344827586</v>
      </c>
    </row>
    <row r="15" customFormat="false" ht="27.75" hidden="false" customHeight="true" outlineLevel="0" collapsed="false">
      <c r="A15" s="11" t="s">
        <v>189</v>
      </c>
      <c r="B15" s="11" t="s">
        <v>24</v>
      </c>
      <c r="C15" s="12" t="n">
        <v>155</v>
      </c>
      <c r="D15" s="13" t="n">
        <f aca="false">C15*100/SUM($C$7:$C$15)</f>
        <v>2.10197992948196</v>
      </c>
      <c r="E15" s="13" t="n">
        <f aca="false">C15*100/$B$1</f>
        <v>1.52709359605911</v>
      </c>
      <c r="F15" s="12" t="n">
        <f aca="false">C15*IF(ISNUMBER(SEARCH("Labour",B15)),National!$L$4,IF(ISNUMBER(SEARCH("Conservative",B15)),National!$L$5,IF(OR(ISNUMBER(SEARCH("Reform",B15)),ISNUMBER(SEARCH("RefUK",B15))),National!$L$6,IF(ISNUMBER(SEARCH("Green",B15)),National!$L$7,IF(OR(ISNUMBER(SEARCH("Liberal Democrat",B15)),ISNUMBER(SEARCH("Lib Dem",B15))),National!$L$8,National!$L$9)))))</f>
        <v>177.142857142857</v>
      </c>
      <c r="G15" s="13" t="n">
        <f aca="false">F15*100/$B$1</f>
        <v>1.74524982406756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7120</v>
      </c>
    </row>
    <row r="2" customFormat="false" ht="30" hidden="false" customHeight="true" outlineLevel="0" collapsed="false">
      <c r="A2" s="2" t="s">
        <v>1</v>
      </c>
      <c r="B2" s="3" t="n">
        <v>2</v>
      </c>
      <c r="C2" s="3"/>
    </row>
    <row r="3" customFormat="false" ht="15" hidden="false" customHeight="true" outlineLevel="0" collapsed="false">
      <c r="A3" s="2" t="s">
        <v>2</v>
      </c>
      <c r="B3" s="4" t="n">
        <v>0.241</v>
      </c>
    </row>
    <row r="4" customFormat="false" ht="15" hidden="false" customHeight="true" outlineLevel="0" collapsed="false">
      <c r="A4" s="2" t="s">
        <v>3</v>
      </c>
      <c r="B4" s="5" t="n">
        <v>12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8" t="s">
        <v>190</v>
      </c>
      <c r="B7" s="18" t="s">
        <v>27</v>
      </c>
      <c r="C7" s="19" t="n">
        <v>967</v>
      </c>
      <c r="D7" s="20" t="n">
        <f aca="false">C7*100/SUM($C$7:$C$12)</f>
        <v>30.21875</v>
      </c>
      <c r="E7" s="20" t="n">
        <f aca="false">C7*100/$B$1</f>
        <v>13.5814606741573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382.302325581395</v>
      </c>
      <c r="G7" s="13" t="n">
        <f aca="false">F7*100/$B$1</f>
        <v>5.36941468513196</v>
      </c>
    </row>
    <row r="8" customFormat="false" ht="15" hidden="false" customHeight="true" outlineLevel="0" collapsed="false">
      <c r="A8" s="18" t="s">
        <v>191</v>
      </c>
      <c r="B8" s="18" t="s">
        <v>27</v>
      </c>
      <c r="C8" s="19" t="n">
        <v>869</v>
      </c>
      <c r="D8" s="20" t="n">
        <f aca="false">C8*100/SUM($C$7:$C$12)</f>
        <v>27.15625</v>
      </c>
      <c r="E8" s="20" t="n">
        <f aca="false">C8*100/$B$1</f>
        <v>12.2050561797753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343.558139534884</v>
      </c>
      <c r="G8" s="13" t="n">
        <f aca="false">F8*100/$B$1</f>
        <v>4.82525476874837</v>
      </c>
    </row>
    <row r="9" customFormat="false" ht="15" hidden="false" customHeight="true" outlineLevel="0" collapsed="false">
      <c r="A9" s="11" t="s">
        <v>192</v>
      </c>
      <c r="B9" s="11" t="s">
        <v>59</v>
      </c>
      <c r="C9" s="12" t="n">
        <v>502</v>
      </c>
      <c r="D9" s="13" t="n">
        <f aca="false">C9*100/SUM($C$7:$C$12)</f>
        <v>15.6875</v>
      </c>
      <c r="E9" s="13" t="n">
        <f aca="false">C9*100/$B$1</f>
        <v>7.05056179775281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328.230769230769</v>
      </c>
      <c r="G9" s="13" t="n">
        <f aca="false">F9*100/$B$1</f>
        <v>4.6099827139153</v>
      </c>
    </row>
    <row r="10" customFormat="false" ht="15" hidden="false" customHeight="true" outlineLevel="0" collapsed="false">
      <c r="A10" s="11" t="s">
        <v>193</v>
      </c>
      <c r="B10" s="11" t="s">
        <v>59</v>
      </c>
      <c r="C10" s="12" t="n">
        <v>489</v>
      </c>
      <c r="D10" s="13" t="n">
        <f aca="false">C10*100/SUM($C$7:$C$12)</f>
        <v>15.28125</v>
      </c>
      <c r="E10" s="13" t="n">
        <f aca="false">C10*100/$B$1</f>
        <v>6.86797752808989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319.730769230769</v>
      </c>
      <c r="G10" s="13" t="n">
        <f aca="false">F10*100/$B$1</f>
        <v>4.49060069144339</v>
      </c>
    </row>
    <row r="11" s="17" customFormat="true" ht="27.75" hidden="false" customHeight="true" outlineLevel="0" collapsed="false">
      <c r="A11" s="14" t="s">
        <v>194</v>
      </c>
      <c r="B11" s="14" t="s">
        <v>18</v>
      </c>
      <c r="C11" s="15" t="n">
        <v>222</v>
      </c>
      <c r="D11" s="16" t="n">
        <f aca="false">C11*100/SUM($C$7:$C$12)</f>
        <v>6.9375</v>
      </c>
      <c r="E11" s="16" t="n">
        <f aca="false">C11*100/$B$1</f>
        <v>3.11797752808989</v>
      </c>
      <c r="F11" s="21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527.25</v>
      </c>
      <c r="G11" s="22" t="n">
        <f aca="false">F11*100/$B$1</f>
        <v>7.40519662921348</v>
      </c>
    </row>
    <row r="12" customFormat="false" ht="15" hidden="false" customHeight="true" outlineLevel="0" collapsed="false">
      <c r="A12" s="11" t="s">
        <v>195</v>
      </c>
      <c r="B12" s="11" t="s">
        <v>20</v>
      </c>
      <c r="C12" s="12" t="n">
        <v>151</v>
      </c>
      <c r="D12" s="13" t="n">
        <f aca="false">C12*100/SUM($C$7:$C$12)</f>
        <v>4.71875</v>
      </c>
      <c r="E12" s="13" t="n">
        <f aca="false">C12*100/$B$1</f>
        <v>2.12078651685393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211.4</v>
      </c>
      <c r="G12" s="13" t="n">
        <f aca="false">F12*100/$B$1</f>
        <v>2.96910112359551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17" activeCellId="0" sqref="B17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10149</v>
      </c>
    </row>
    <row r="2" customFormat="false" ht="30" hidden="false" customHeight="true" outlineLevel="0" collapsed="false">
      <c r="A2" s="2" t="s">
        <v>1</v>
      </c>
      <c r="B2" s="3" t="n">
        <v>3</v>
      </c>
      <c r="C2" s="3"/>
    </row>
    <row r="3" customFormat="false" ht="15" hidden="false" customHeight="true" outlineLevel="0" collapsed="false">
      <c r="A3" s="2" t="s">
        <v>2</v>
      </c>
      <c r="B3" s="4" t="n">
        <v>0.3255</v>
      </c>
    </row>
    <row r="4" customFormat="false" ht="15" hidden="false" customHeight="true" outlineLevel="0" collapsed="false">
      <c r="A4" s="2" t="s">
        <v>3</v>
      </c>
      <c r="B4" s="5" t="n">
        <v>59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27.75" hidden="false" customHeight="true" outlineLevel="0" collapsed="false">
      <c r="A7" s="18" t="s">
        <v>196</v>
      </c>
      <c r="B7" s="18" t="s">
        <v>27</v>
      </c>
      <c r="C7" s="19" t="n">
        <v>1998</v>
      </c>
      <c r="D7" s="20" t="n">
        <f aca="false">C7*100/SUM($C$7:$C$14)</f>
        <v>21.999559568377</v>
      </c>
      <c r="E7" s="20" t="n">
        <f aca="false">C7*100/$B$1</f>
        <v>19.6866686373042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789.906976744186</v>
      </c>
      <c r="G7" s="13" t="n">
        <f aca="false">F7*100/$B$1</f>
        <v>7.78310155428304</v>
      </c>
    </row>
    <row r="8" customFormat="false" ht="15" hidden="false" customHeight="true" outlineLevel="0" collapsed="false">
      <c r="A8" s="18" t="s">
        <v>197</v>
      </c>
      <c r="B8" s="18" t="s">
        <v>27</v>
      </c>
      <c r="C8" s="19" t="n">
        <v>1977</v>
      </c>
      <c r="D8" s="20" t="n">
        <f aca="false">C8*100/SUM($C$7:$C$14)</f>
        <v>21.768332966307</v>
      </c>
      <c r="E8" s="20" t="n">
        <f aca="false">C8*100/$B$1</f>
        <v>19.4797516996748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781.604651162791</v>
      </c>
      <c r="G8" s="13" t="n">
        <f aca="false">F8*100/$B$1</f>
        <v>7.70129718359238</v>
      </c>
    </row>
    <row r="9" customFormat="false" ht="15" hidden="false" customHeight="true" outlineLevel="0" collapsed="false">
      <c r="A9" s="18" t="s">
        <v>198</v>
      </c>
      <c r="B9" s="18" t="s">
        <v>27</v>
      </c>
      <c r="C9" s="19" t="n">
        <v>1823</v>
      </c>
      <c r="D9" s="20" t="n">
        <f aca="false">C9*100/SUM($C$7:$C$14)</f>
        <v>20.0726712177934</v>
      </c>
      <c r="E9" s="20" t="n">
        <f aca="false">C9*100/$B$1</f>
        <v>17.9623608237265</v>
      </c>
      <c r="F9" s="12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720.720930232558</v>
      </c>
      <c r="G9" s="13" t="n">
        <f aca="false">F9*100/$B$1</f>
        <v>7.10139846519419</v>
      </c>
    </row>
    <row r="10" customFormat="false" ht="15" hidden="false" customHeight="true" outlineLevel="0" collapsed="false">
      <c r="A10" s="11" t="s">
        <v>199</v>
      </c>
      <c r="B10" s="11" t="s">
        <v>59</v>
      </c>
      <c r="C10" s="12" t="n">
        <v>985</v>
      </c>
      <c r="D10" s="13" t="n">
        <f aca="false">C10*100/SUM($C$7:$C$14)</f>
        <v>10.8456287161418</v>
      </c>
      <c r="E10" s="13" t="n">
        <f aca="false">C10*100/$B$1</f>
        <v>9.70538969356587</v>
      </c>
      <c r="F10" s="12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644.038461538462</v>
      </c>
      <c r="G10" s="13" t="n">
        <f aca="false">F10*100/$B$1</f>
        <v>6.34583172271615</v>
      </c>
    </row>
    <row r="11" customFormat="false" ht="15" hidden="false" customHeight="true" outlineLevel="0" collapsed="false">
      <c r="A11" s="11" t="s">
        <v>200</v>
      </c>
      <c r="B11" s="11" t="s">
        <v>59</v>
      </c>
      <c r="C11" s="12" t="n">
        <v>817</v>
      </c>
      <c r="D11" s="13" t="n">
        <f aca="false">C11*100/SUM($C$7:$C$14)</f>
        <v>8.99581589958159</v>
      </c>
      <c r="E11" s="13" t="n">
        <f aca="false">C11*100/$B$1</f>
        <v>8.05005419253129</v>
      </c>
      <c r="F11" s="12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534.192307692308</v>
      </c>
      <c r="G11" s="13" t="n">
        <f aca="false">F11*100/$B$1</f>
        <v>5.26349697203969</v>
      </c>
    </row>
    <row r="12" customFormat="false" ht="15" hidden="false" customHeight="true" outlineLevel="0" collapsed="false">
      <c r="A12" s="11" t="s">
        <v>201</v>
      </c>
      <c r="B12" s="11" t="s">
        <v>59</v>
      </c>
      <c r="C12" s="12" t="n">
        <v>808</v>
      </c>
      <c r="D12" s="13" t="n">
        <f aca="false">C12*100/SUM($C$7:$C$14)</f>
        <v>8.89671878440872</v>
      </c>
      <c r="E12" s="13" t="n">
        <f aca="false">C12*100/$B$1</f>
        <v>7.96137550497586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528.307692307692</v>
      </c>
      <c r="G12" s="13" t="n">
        <f aca="false">F12*100/$B$1</f>
        <v>5.20551475325345</v>
      </c>
    </row>
    <row r="13" s="17" customFormat="true" ht="15" hidden="false" customHeight="true" outlineLevel="0" collapsed="false">
      <c r="A13" s="14" t="s">
        <v>202</v>
      </c>
      <c r="B13" s="14" t="s">
        <v>18</v>
      </c>
      <c r="C13" s="15" t="n">
        <v>361</v>
      </c>
      <c r="D13" s="16" t="n">
        <f aca="false">C13*100/SUM($C$7:$C$14)</f>
        <v>3.97489539748954</v>
      </c>
      <c r="E13" s="16" t="n">
        <f aca="false">C13*100/$B$1</f>
        <v>3.55700068972313</v>
      </c>
      <c r="F13" s="21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857.375</v>
      </c>
      <c r="G13" s="22" t="n">
        <f aca="false">F13*100/$B$1</f>
        <v>8.44787663809242</v>
      </c>
    </row>
    <row r="14" customFormat="false" ht="15" hidden="false" customHeight="true" outlineLevel="0" collapsed="false">
      <c r="A14" s="11" t="s">
        <v>203</v>
      </c>
      <c r="B14" s="11" t="s">
        <v>20</v>
      </c>
      <c r="C14" s="12" t="n">
        <v>313</v>
      </c>
      <c r="D14" s="13" t="n">
        <f aca="false">C14*100/SUM($C$7:$C$14)</f>
        <v>3.4463774499009</v>
      </c>
      <c r="E14" s="13" t="n">
        <f aca="false">C14*100/$B$1</f>
        <v>3.08404768942753</v>
      </c>
      <c r="F14" s="12" t="n">
        <f aca="false">C14*IF(ISNUMBER(SEARCH("Labour",B14)),National!$L$4,IF(ISNUMBER(SEARCH("Conservative",B14)),National!$L$5,IF(OR(ISNUMBER(SEARCH("Reform",B14)),ISNUMBER(SEARCH("RefUK",B14))),National!$L$6,IF(ISNUMBER(SEARCH("Green",B14)),National!$L$7,IF(OR(ISNUMBER(SEARCH("Liberal Democrat",B14)),ISNUMBER(SEARCH("Lib Dem",B14))),National!$L$8,National!$L$9)))))</f>
        <v>438.2</v>
      </c>
      <c r="G14" s="13" t="n">
        <f aca="false">F14*100/$B$1</f>
        <v>4.31766676519854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97D"/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5703125" defaultRowHeight="12.7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true" outlineLevel="0" collapsed="false">
      <c r="A1" s="1" t="s">
        <v>0</v>
      </c>
      <c r="B1" s="1" t="n">
        <v>7143</v>
      </c>
    </row>
    <row r="2" customFormat="false" ht="30" hidden="false" customHeight="true" outlineLevel="0" collapsed="false">
      <c r="A2" s="2" t="s">
        <v>1</v>
      </c>
      <c r="B2" s="3" t="n">
        <v>2</v>
      </c>
      <c r="C2" s="3"/>
    </row>
    <row r="3" customFormat="false" ht="15" hidden="false" customHeight="true" outlineLevel="0" collapsed="false">
      <c r="A3" s="2" t="s">
        <v>2</v>
      </c>
      <c r="B3" s="4" t="n">
        <v>0.2729</v>
      </c>
    </row>
    <row r="4" customFormat="false" ht="15" hidden="false" customHeight="true" outlineLevel="0" collapsed="false">
      <c r="A4" s="2" t="s">
        <v>3</v>
      </c>
      <c r="B4" s="5" t="n">
        <v>16</v>
      </c>
    </row>
    <row r="5" customFormat="false" ht="13.8" hidden="false" customHeight="false" outlineLevel="0" collapsed="false">
      <c r="F5" s="8" t="s">
        <v>35</v>
      </c>
      <c r="G5" s="8"/>
    </row>
    <row r="6" customFormat="false" ht="1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customFormat="false" ht="15" hidden="false" customHeight="true" outlineLevel="0" collapsed="false">
      <c r="A7" s="18" t="s">
        <v>204</v>
      </c>
      <c r="B7" s="18" t="s">
        <v>27</v>
      </c>
      <c r="C7" s="19" t="n">
        <v>986</v>
      </c>
      <c r="D7" s="20" t="n">
        <f aca="false">C7*100/SUM($C$7:$C$13)</f>
        <v>26.7063921993499</v>
      </c>
      <c r="E7" s="20" t="n">
        <f aca="false">C7*100/$B$1</f>
        <v>13.8037239255215</v>
      </c>
      <c r="F7" s="12" t="n">
        <f aca="false">C7*IF(ISNUMBER(SEARCH("Labour",B7)),National!$L$4,IF(ISNUMBER(SEARCH("Conservative",B7)),National!$L$5,IF(OR(ISNUMBER(SEARCH("Reform",B7)),ISNUMBER(SEARCH("RefUK",B7))),National!$L$6,IF(ISNUMBER(SEARCH("Green",B7)),National!$L$7,IF(OR(ISNUMBER(SEARCH("Liberal Democrat",B7)),ISNUMBER(SEARCH("Lib Dem",B7))),National!$L$8,National!$L$9)))))</f>
        <v>389.813953488372</v>
      </c>
      <c r="G7" s="13" t="n">
        <f aca="false">F7*100/$B$1</f>
        <v>5.45728620311315</v>
      </c>
    </row>
    <row r="8" customFormat="false" ht="27.75" hidden="false" customHeight="true" outlineLevel="0" collapsed="false">
      <c r="A8" s="18" t="s">
        <v>205</v>
      </c>
      <c r="B8" s="18" t="s">
        <v>27</v>
      </c>
      <c r="C8" s="19" t="n">
        <v>915</v>
      </c>
      <c r="D8" s="20" t="n">
        <f aca="false">C8*100/SUM($C$7:$C$13)</f>
        <v>24.783315276273</v>
      </c>
      <c r="E8" s="20" t="n">
        <f aca="false">C8*100/$B$1</f>
        <v>12.8097438051239</v>
      </c>
      <c r="F8" s="12" t="n">
        <f aca="false">C8*IF(ISNUMBER(SEARCH("Labour",B8)),National!$L$4,IF(ISNUMBER(SEARCH("Conservative",B8)),National!$L$5,IF(OR(ISNUMBER(SEARCH("Reform",B8)),ISNUMBER(SEARCH("RefUK",B8))),National!$L$6,IF(ISNUMBER(SEARCH("Green",B8)),National!$L$7,IF(OR(ISNUMBER(SEARCH("Liberal Democrat",B8)),ISNUMBER(SEARCH("Lib Dem",B8))),National!$L$8,National!$L$9)))))</f>
        <v>361.744186046512</v>
      </c>
      <c r="G8" s="13" t="n">
        <f aca="false">F8*100/$B$1</f>
        <v>5.0643173183048</v>
      </c>
    </row>
    <row r="9" customFormat="false" ht="15" hidden="false" customHeight="true" outlineLevel="0" collapsed="false">
      <c r="A9" s="11" t="s">
        <v>206</v>
      </c>
      <c r="B9" s="11" t="s">
        <v>16</v>
      </c>
      <c r="C9" s="12" t="n">
        <v>799</v>
      </c>
      <c r="D9" s="13" t="n">
        <f aca="false">C9*100/SUM($C$7:$C$13)</f>
        <v>21.6413867822319</v>
      </c>
      <c r="E9" s="13" t="n">
        <f aca="false">C9*100/$B$1</f>
        <v>11.1857762844743</v>
      </c>
      <c r="F9" s="19" t="n">
        <f aca="false">C9*IF(ISNUMBER(SEARCH("Labour",B9)),National!$L$4,IF(ISNUMBER(SEARCH("Conservative",B9)),National!$L$5,IF(OR(ISNUMBER(SEARCH("Reform",B9)),ISNUMBER(SEARCH("RefUK",B9))),National!$L$6,IF(ISNUMBER(SEARCH("Green",B9)),National!$L$7,IF(OR(ISNUMBER(SEARCH("Liberal Democrat",B9)),ISNUMBER(SEARCH("Lib Dem",B9))),National!$L$8,National!$L$9)))))</f>
        <v>522.423076923077</v>
      </c>
      <c r="G9" s="20" t="n">
        <f aca="false">F9*100/$B$1</f>
        <v>7.31377680138705</v>
      </c>
    </row>
    <row r="10" customFormat="false" ht="15" hidden="false" customHeight="true" outlineLevel="0" collapsed="false">
      <c r="A10" s="11" t="s">
        <v>207</v>
      </c>
      <c r="B10" s="11" t="s">
        <v>16</v>
      </c>
      <c r="C10" s="12" t="n">
        <v>689</v>
      </c>
      <c r="D10" s="13" t="n">
        <f aca="false">C10*100/SUM($C$7:$C$13)</f>
        <v>18.6619718309859</v>
      </c>
      <c r="E10" s="13" t="n">
        <f aca="false">C10*100/$B$1</f>
        <v>9.64580708385832</v>
      </c>
      <c r="F10" s="19" t="n">
        <f aca="false">C10*IF(ISNUMBER(SEARCH("Labour",B10)),National!$L$4,IF(ISNUMBER(SEARCH("Conservative",B10)),National!$L$5,IF(OR(ISNUMBER(SEARCH("Reform",B10)),ISNUMBER(SEARCH("RefUK",B10))),National!$L$6,IF(ISNUMBER(SEARCH("Green",B10)),National!$L$7,IF(OR(ISNUMBER(SEARCH("Liberal Democrat",B10)),ISNUMBER(SEARCH("Lib Dem",B10))),National!$L$8,National!$L$9)))))</f>
        <v>450.5</v>
      </c>
      <c r="G10" s="20" t="n">
        <f aca="false">F10*100/$B$1</f>
        <v>6.30687386252275</v>
      </c>
    </row>
    <row r="11" s="17" customFormat="true" ht="15" hidden="false" customHeight="true" outlineLevel="0" collapsed="false">
      <c r="A11" s="14" t="s">
        <v>208</v>
      </c>
      <c r="B11" s="14" t="s">
        <v>18</v>
      </c>
      <c r="C11" s="15" t="n">
        <v>121</v>
      </c>
      <c r="D11" s="16" t="n">
        <f aca="false">C11*100/SUM($C$7:$C$13)</f>
        <v>3.27735644637053</v>
      </c>
      <c r="E11" s="16" t="n">
        <f aca="false">C11*100/$B$1</f>
        <v>1.69396612067759</v>
      </c>
      <c r="F11" s="15" t="n">
        <f aca="false">C11*IF(ISNUMBER(SEARCH("Labour",B11)),National!$L$4,IF(ISNUMBER(SEARCH("Conservative",B11)),National!$L$5,IF(OR(ISNUMBER(SEARCH("Reform",B11)),ISNUMBER(SEARCH("RefUK",B11))),National!$L$6,IF(ISNUMBER(SEARCH("Green",B11)),National!$L$7,IF(OR(ISNUMBER(SEARCH("Liberal Democrat",B11)),ISNUMBER(SEARCH("Lib Dem",B11))),National!$L$8,National!$L$9)))))</f>
        <v>287.375</v>
      </c>
      <c r="G11" s="16" t="n">
        <f aca="false">F11*100/$B$1</f>
        <v>4.02316953660927</v>
      </c>
    </row>
    <row r="12" customFormat="false" ht="15" hidden="false" customHeight="true" outlineLevel="0" collapsed="false">
      <c r="A12" s="11" t="s">
        <v>209</v>
      </c>
      <c r="B12" s="11" t="s">
        <v>20</v>
      </c>
      <c r="C12" s="12" t="n">
        <v>108</v>
      </c>
      <c r="D12" s="13" t="n">
        <f aca="false">C12*100/SUM($C$7:$C$13)</f>
        <v>2.92524377031419</v>
      </c>
      <c r="E12" s="13" t="n">
        <f aca="false">C12*100/$B$1</f>
        <v>1.51196976060479</v>
      </c>
      <c r="F12" s="12" t="n">
        <f aca="false">C12*IF(ISNUMBER(SEARCH("Labour",B12)),National!$L$4,IF(ISNUMBER(SEARCH("Conservative",B12)),National!$L$5,IF(OR(ISNUMBER(SEARCH("Reform",B12)),ISNUMBER(SEARCH("RefUK",B12))),National!$L$6,IF(ISNUMBER(SEARCH("Green",B12)),National!$L$7,IF(OR(ISNUMBER(SEARCH("Liberal Democrat",B12)),ISNUMBER(SEARCH("Lib Dem",B12))),National!$L$8,National!$L$9)))))</f>
        <v>151.2</v>
      </c>
      <c r="G12" s="13" t="n">
        <f aca="false">F12*100/$B$1</f>
        <v>2.1167576648467</v>
      </c>
    </row>
    <row r="13" customFormat="false" ht="27.75" hidden="false" customHeight="true" outlineLevel="0" collapsed="false">
      <c r="A13" s="11" t="s">
        <v>210</v>
      </c>
      <c r="B13" s="11" t="s">
        <v>79</v>
      </c>
      <c r="C13" s="12" t="n">
        <v>74</v>
      </c>
      <c r="D13" s="13" t="n">
        <f aca="false">C13*100/SUM($C$7:$C$13)</f>
        <v>2.00433369447454</v>
      </c>
      <c r="E13" s="13" t="n">
        <f aca="false">C13*100/$B$1</f>
        <v>1.03597928041439</v>
      </c>
      <c r="F13" s="12" t="n">
        <f aca="false">C13*IF(ISNUMBER(SEARCH("Labour",B13)),National!$L$4,IF(ISNUMBER(SEARCH("Conservative",B13)),National!$L$5,IF(OR(ISNUMBER(SEARCH("Reform",B13)),ISNUMBER(SEARCH("RefUK",B13))),National!$L$6,IF(ISNUMBER(SEARCH("Green",B13)),National!$L$7,IF(OR(ISNUMBER(SEARCH("Liberal Democrat",B13)),ISNUMBER(SEARCH("Lib Dem",B13))),National!$L$8,National!$L$9)))))</f>
        <v>84.5714285714286</v>
      </c>
      <c r="G13" s="13" t="n">
        <f aca="false">F13*100/$B$1</f>
        <v>1.18397632047359</v>
      </c>
    </row>
  </sheetData>
  <mergeCells count="2">
    <mergeCell ref="B2:C2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2" min="12" style="0" width="9.42"/>
  </cols>
  <sheetData>
    <row r="1" customFormat="false" ht="12.75" hidden="false" customHeight="false" outlineLevel="0" collapsed="false">
      <c r="A1" s="0" t="s">
        <v>211</v>
      </c>
      <c r="G1" s="0" t="s">
        <v>212</v>
      </c>
      <c r="K1" s="0" t="s">
        <v>213</v>
      </c>
    </row>
    <row r="3" customFormat="false" ht="12.75" hidden="false" customHeight="false" outlineLevel="0" collapsed="false">
      <c r="A3" s="0" t="s">
        <v>7</v>
      </c>
      <c r="B3" s="0" t="s">
        <v>214</v>
      </c>
      <c r="G3" s="0" t="s">
        <v>7</v>
      </c>
      <c r="H3" s="0" t="s">
        <v>215</v>
      </c>
      <c r="K3" s="0" t="s">
        <v>7</v>
      </c>
      <c r="L3" s="0" t="s">
        <v>213</v>
      </c>
    </row>
    <row r="4" customFormat="false" ht="13.8" hidden="false" customHeight="false" outlineLevel="0" collapsed="false">
      <c r="A4" s="0" t="s">
        <v>216</v>
      </c>
      <c r="B4" s="0" t="n">
        <v>43</v>
      </c>
      <c r="G4" s="0" t="s">
        <v>216</v>
      </c>
      <c r="H4" s="0" t="n">
        <v>17</v>
      </c>
      <c r="K4" s="0" t="s">
        <v>216</v>
      </c>
      <c r="L4" s="13" t="n">
        <f aca="false">H4/B4</f>
        <v>0.395348837209302</v>
      </c>
    </row>
    <row r="5" customFormat="false" ht="13.8" hidden="false" customHeight="false" outlineLevel="0" collapsed="false">
      <c r="A5" s="0" t="s">
        <v>217</v>
      </c>
      <c r="B5" s="0" t="n">
        <v>26</v>
      </c>
      <c r="G5" s="0" t="s">
        <v>217</v>
      </c>
      <c r="H5" s="0" t="n">
        <v>17</v>
      </c>
      <c r="K5" s="0" t="s">
        <v>217</v>
      </c>
      <c r="L5" s="13" t="n">
        <f aca="false">H5/B5</f>
        <v>0.653846153846154</v>
      </c>
    </row>
    <row r="6" customFormat="false" ht="13.8" hidden="false" customHeight="false" outlineLevel="0" collapsed="false">
      <c r="A6" s="0" t="s">
        <v>218</v>
      </c>
      <c r="B6" s="0" t="n">
        <v>6</v>
      </c>
      <c r="G6" s="0" t="s">
        <v>218</v>
      </c>
      <c r="H6" s="0" t="n">
        <v>25</v>
      </c>
      <c r="K6" s="0" t="s">
        <v>218</v>
      </c>
      <c r="L6" s="13" t="n">
        <f aca="false">H6/B6</f>
        <v>4.16666666666667</v>
      </c>
    </row>
    <row r="7" customFormat="false" ht="13.8" hidden="false" customHeight="false" outlineLevel="0" collapsed="false">
      <c r="A7" s="0" t="s">
        <v>219</v>
      </c>
      <c r="B7" s="0" t="n">
        <v>8</v>
      </c>
      <c r="G7" s="0" t="s">
        <v>219</v>
      </c>
      <c r="H7" s="0" t="n">
        <v>19</v>
      </c>
      <c r="K7" s="0" t="s">
        <v>219</v>
      </c>
      <c r="L7" s="13" t="n">
        <f aca="false">H7/B7</f>
        <v>2.375</v>
      </c>
    </row>
    <row r="8" customFormat="false" ht="13.8" hidden="false" customHeight="false" outlineLevel="0" collapsed="false">
      <c r="A8" s="0" t="s">
        <v>220</v>
      </c>
      <c r="B8" s="0" t="n">
        <v>10</v>
      </c>
      <c r="G8" s="0" t="s">
        <v>220</v>
      </c>
      <c r="H8" s="0" t="n">
        <v>14</v>
      </c>
      <c r="K8" s="0" t="s">
        <v>220</v>
      </c>
      <c r="L8" s="13" t="n">
        <f aca="false">H8/B8</f>
        <v>1.4</v>
      </c>
    </row>
    <row r="9" customFormat="false" ht="13.8" hidden="false" customHeight="false" outlineLevel="0" collapsed="false">
      <c r="A9" s="0" t="s">
        <v>221</v>
      </c>
      <c r="B9" s="0" t="n">
        <f aca="false">100-(SUM(B4:B8))</f>
        <v>7</v>
      </c>
      <c r="G9" s="0" t="s">
        <v>221</v>
      </c>
      <c r="H9" s="0" t="n">
        <f aca="false">100-(SUM(H4:H8))</f>
        <v>8</v>
      </c>
      <c r="K9" s="0" t="s">
        <v>221</v>
      </c>
      <c r="L9" s="13" t="n">
        <f aca="false">H9/B9</f>
        <v>1.14285714285714</v>
      </c>
    </row>
    <row r="11" customFormat="false" ht="12.75" hidden="false" customHeight="false" outlineLevel="0" collapsed="false">
      <c r="G11" s="0" t="s">
        <v>222</v>
      </c>
    </row>
    <row r="14" customFormat="false" ht="12.75" hidden="false" customHeight="false" outlineLevel="0" collapsed="false">
      <c r="A14" s="0" t="s">
        <v>223</v>
      </c>
    </row>
    <row r="16" customFormat="false" ht="12.75" hidden="false" customHeight="false" outlineLevel="0" collapsed="false">
      <c r="B16" s="0" t="s">
        <v>216</v>
      </c>
      <c r="C16" s="0" t="s">
        <v>217</v>
      </c>
      <c r="D16" s="0" t="s">
        <v>218</v>
      </c>
      <c r="E16" s="0" t="s">
        <v>219</v>
      </c>
      <c r="F16" s="0" t="s">
        <v>220</v>
      </c>
      <c r="G16" s="0" t="s">
        <v>221</v>
      </c>
      <c r="H16" s="0" t="s">
        <v>224</v>
      </c>
      <c r="I16" s="0" t="s">
        <v>225</v>
      </c>
    </row>
    <row r="17" customFormat="false" ht="12.75" hidden="false" customHeight="false" outlineLevel="0" collapsed="false">
      <c r="A17" s="0" t="s">
        <v>216</v>
      </c>
    </row>
    <row r="18" customFormat="false" ht="12.75" hidden="false" customHeight="false" outlineLevel="0" collapsed="false">
      <c r="A18" s="0" t="s">
        <v>217</v>
      </c>
    </row>
    <row r="19" customFormat="false" ht="12.75" hidden="false" customHeight="false" outlineLevel="0" collapsed="false">
      <c r="A19" s="0" t="s">
        <v>218</v>
      </c>
    </row>
    <row r="20" customFormat="false" ht="12.75" hidden="false" customHeight="false" outlineLevel="0" collapsed="false">
      <c r="A20" s="0" t="s">
        <v>219</v>
      </c>
    </row>
    <row r="21" customFormat="false" ht="12.75" hidden="false" customHeight="false" outlineLevel="0" collapsed="false">
      <c r="A21" s="0" t="s">
        <v>220</v>
      </c>
    </row>
    <row r="22" customFormat="false" ht="12.75" hidden="false" customHeight="false" outlineLevel="0" collapsed="false">
      <c r="A22" s="0" t="s">
        <v>221</v>
      </c>
    </row>
    <row r="23" customFormat="false" ht="12.75" hidden="false" customHeight="false" outlineLevel="0" collapsed="false">
      <c r="A23" s="0" t="s">
        <v>224</v>
      </c>
    </row>
    <row r="24" customFormat="false" ht="12.75" hidden="false" customHeight="false" outlineLevel="0" collapsed="false">
      <c r="A24" s="0" t="s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2026-03-24T00:56:20Z</dcterms:created>
  <dc:creator>openpyxl</dc:creator>
  <dc:description/>
  <dc:language>en-GB</dc:language>
  <cp:lastModifiedBy/>
  <dcterms:modified xsi:type="dcterms:W3CDTF">2026-04-21T19:20:17Z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